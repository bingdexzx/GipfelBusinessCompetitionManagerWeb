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uhao\Desktop\shang\gipfel\GipfelBusinessCompetitionManagerWeb\contract_watcher\bookkeeping_example\"/>
    </mc:Choice>
  </mc:AlternateContent>
  <bookViews>
    <workbookView windowWidth="19200" windowHeight="8055" tabRatio="801"/>
  </bookViews>
  <sheets>
    <sheet name="银行流水账" sheetId="1" r:id="rId1"/>
    <sheet name="原材料(加工用)" sheetId="18" r:id="rId2"/>
    <sheet name="零件（加工用）" sheetId="23" r:id="rId3"/>
    <sheet name="商品（各实体用）" sheetId="22" r:id="rId4"/>
    <sheet name="明细账汇总-资产类科目" sheetId="4" r:id="rId5"/>
    <sheet name="明细账汇总-负债类科目" sheetId="5" r:id="rId6"/>
    <sheet name="明细账汇总-损益类科目" sheetId="6" r:id="rId7"/>
    <sheet name="资产负债表" sheetId="7" r:id="rId8"/>
    <sheet name="利润表" sheetId="8" r:id="rId9"/>
    <sheet name="计算" sheetId="14" state="hidden" r:id="rId10"/>
    <sheet name="现金流量表" sheetId="9" r:id="rId11"/>
    <sheet name="常用财务分析表" sheetId="11" r:id="rId12"/>
  </sheets>
  <definedNames>
    <definedName name="_xlnm._FilterDatabase" localSheetId="0" hidden="1">银行流水账!$A$2:$Q$163</definedName>
    <definedName name="_1试算平衡表期间_2006年第6期__">#REF!</definedName>
    <definedName name="_2试算平衡表期间_2006年第7期__">#REF!</definedName>
    <definedName name="_xlnm.Print_Area" localSheetId="8">利润表!$A$1:$C$38</definedName>
    <definedName name="_xlnm.Print_Area" localSheetId="7">资产负债表!$A$1:$H$80</definedName>
    <definedName name="_xlnm.Print_Titles" localSheetId="7">资产负债表!$1:$6</definedName>
    <definedName name="表页_1" localSheetId="8">利润表!#REF!</definedName>
    <definedName name="表页_1">资产负债表!$A$5:$H$79</definedName>
    <definedName name="会计分录序时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<sst xmlns="http://schemas.openxmlformats.org/spreadsheetml/2006/main" count="1356" uniqueCount="404">
  <si>
    <t>银行账户明细账</t>
  </si>
  <si>
    <t>日期</t>
  </si>
  <si>
    <t>账户初始资金</t>
  </si>
  <si>
    <t>交易序号</t>
  </si>
  <si>
    <t>存款增加</t>
  </si>
  <si>
    <t>存款减少</t>
  </si>
  <si>
    <t>账户余额</t>
  </si>
  <si>
    <t>交易简述</t>
  </si>
  <si>
    <t>对方科目</t>
  </si>
  <si>
    <t>现金流性质分析</t>
  </si>
  <si>
    <t>流动资产</t>
  </si>
  <si>
    <t>现金</t>
  </si>
  <si>
    <t>银行存款</t>
  </si>
  <si>
    <t>经营活动产生的现金流量</t>
  </si>
  <si>
    <t>取得的销售货物收到的现金</t>
  </si>
  <si>
    <t>短期投资</t>
  </si>
  <si>
    <t>取得的提供服务到的现金</t>
  </si>
  <si>
    <t>应收票据</t>
  </si>
  <si>
    <t>收取利息、手续费及佣金的现金</t>
  </si>
  <si>
    <t>应收股利</t>
  </si>
  <si>
    <t>处置交易性金融资产净增加额</t>
  </si>
  <si>
    <t>应收利息</t>
  </si>
  <si>
    <t>回购业务资金净增加额</t>
  </si>
  <si>
    <t>应收账款</t>
  </si>
  <si>
    <t>收到其他与经营活动有关的现金</t>
  </si>
  <si>
    <t>坏账准备</t>
  </si>
  <si>
    <t>支付给职工以及为职工支付的现金</t>
  </si>
  <si>
    <t>其他应收款</t>
  </si>
  <si>
    <t>支付的各项税费</t>
  </si>
  <si>
    <t>预付账款</t>
  </si>
  <si>
    <t>回购业务资金净减少额</t>
  </si>
  <si>
    <t>应收补贴款</t>
  </si>
  <si>
    <t>支付其他与经营活动有关的现金</t>
  </si>
  <si>
    <t>存货</t>
  </si>
  <si>
    <t>投资活动产生的现金流量</t>
  </si>
  <si>
    <t>收回投资收到的现金</t>
  </si>
  <si>
    <t>存货变现琐事准备</t>
  </si>
  <si>
    <t>取得投资收益收到的现金</t>
  </si>
  <si>
    <t>待摊费用</t>
  </si>
  <si>
    <t>处置固定资产、无形资产和其他长期资产收到的现金净额</t>
  </si>
  <si>
    <t>1年内到期的长期债券投资</t>
  </si>
  <si>
    <t>收到其他与投资活动有关的现金</t>
  </si>
  <si>
    <t>其他流动资产</t>
  </si>
  <si>
    <t>投资支付现金</t>
  </si>
  <si>
    <t>长期投资</t>
  </si>
  <si>
    <t>长期股权投资</t>
  </si>
  <si>
    <t>购建固定资产、无形资产和其他长期资产支付的现金</t>
  </si>
  <si>
    <t>长期债权投资</t>
  </si>
  <si>
    <t>吸收投资收到的现金</t>
  </si>
  <si>
    <t>固定资产</t>
  </si>
  <si>
    <t>固定资产原价</t>
  </si>
  <si>
    <t>筹资活动产生的现金流量</t>
  </si>
  <si>
    <t>取得借款收到的现金</t>
  </si>
  <si>
    <t>固定资产累计折旧</t>
  </si>
  <si>
    <t>收到其他与筹资活动有关的现金</t>
  </si>
  <si>
    <t>固定资产减值准备</t>
  </si>
  <si>
    <t>偿还债务支付的现金</t>
  </si>
  <si>
    <t>工程物资</t>
  </si>
  <si>
    <t>分配股利、利润或偿付利息支付的现金</t>
  </si>
  <si>
    <t>在建工程</t>
  </si>
  <si>
    <t>支付其他与筹资活动有关的现金</t>
  </si>
  <si>
    <t>固定资产清理</t>
  </si>
  <si>
    <t>土地使用权</t>
  </si>
  <si>
    <t>工业产权及专有技术</t>
  </si>
  <si>
    <t>其他无形资产</t>
  </si>
  <si>
    <t>开办费</t>
  </si>
  <si>
    <t>其他长期资产</t>
  </si>
  <si>
    <t>负债</t>
  </si>
  <si>
    <t>短期借款</t>
  </si>
  <si>
    <t>应付票据</t>
  </si>
  <si>
    <t>应付账款</t>
  </si>
  <si>
    <t>预收账款</t>
  </si>
  <si>
    <t>应付工资</t>
  </si>
  <si>
    <t>应付福利费</t>
  </si>
  <si>
    <t>应付股利</t>
  </si>
  <si>
    <t>应交税金</t>
  </si>
  <si>
    <t>其他应交款</t>
  </si>
  <si>
    <t>其他应付款</t>
  </si>
  <si>
    <t>预提费用</t>
  </si>
  <si>
    <t>预计负债</t>
  </si>
  <si>
    <t>1年内到期的长期负债</t>
  </si>
  <si>
    <t>其他流动负债</t>
  </si>
  <si>
    <t>长期负债</t>
  </si>
  <si>
    <t>长期借款</t>
  </si>
  <si>
    <t>应付债券</t>
  </si>
  <si>
    <t>长期应付款</t>
  </si>
  <si>
    <t>专项应付款</t>
  </si>
  <si>
    <t>其他长期负债</t>
  </si>
  <si>
    <t>其他负债</t>
  </si>
  <si>
    <t>递延税款贷项</t>
  </si>
  <si>
    <t>递延投资收益</t>
  </si>
  <si>
    <t>其他递延贷项</t>
  </si>
  <si>
    <t>所有者权益</t>
  </si>
  <si>
    <t>资本总额</t>
  </si>
  <si>
    <t>实收资本</t>
  </si>
  <si>
    <t>资本公积</t>
  </si>
  <si>
    <t>盈余公积</t>
  </si>
  <si>
    <t>本年利润</t>
  </si>
  <si>
    <t>未分配利润</t>
  </si>
  <si>
    <t>损益类</t>
  </si>
  <si>
    <t>产品（商品）销售收入</t>
  </si>
  <si>
    <t>服务收入</t>
  </si>
  <si>
    <t>主营业务成本</t>
  </si>
  <si>
    <t>主营业务税金及附加</t>
  </si>
  <si>
    <t>销售费用</t>
  </si>
  <si>
    <t>管理费用</t>
  </si>
  <si>
    <t>财务费用</t>
  </si>
  <si>
    <t>其他业务收入</t>
  </si>
  <si>
    <t>存货跌价损失</t>
  </si>
  <si>
    <t>投资收益</t>
  </si>
  <si>
    <t>补贴收入</t>
  </si>
  <si>
    <t>营业外收入</t>
  </si>
  <si>
    <t>营业外支出</t>
  </si>
  <si>
    <t>利润总额</t>
  </si>
  <si>
    <t>所得税</t>
  </si>
  <si>
    <t>净利润</t>
  </si>
  <si>
    <t>库存商品成本期末移动平均结转报告</t>
  </si>
  <si>
    <t>编制单位：XXX公司</t>
  </si>
  <si>
    <r>
      <rPr>
        <sz val="10"/>
        <rFont val="宋体"/>
        <charset val="134"/>
      </rPr>
      <t>报告日期：</t>
    </r>
    <r>
      <rPr>
        <sz val="10"/>
        <rFont val="MS Sans Serif"/>
        <charset val="134"/>
      </rPr>
      <t>2026/2/1</t>
    </r>
  </si>
  <si>
    <t>库存货品名称及批次</t>
  </si>
  <si>
    <t>期初数</t>
  </si>
  <si>
    <t>采购入库</t>
  </si>
  <si>
    <t>耗用出库</t>
  </si>
  <si>
    <t>结存</t>
  </si>
  <si>
    <t>数量</t>
  </si>
  <si>
    <t>总计金额</t>
  </si>
  <si>
    <t>单价</t>
  </si>
  <si>
    <t>采购金额</t>
  </si>
  <si>
    <t>加权平均单价</t>
  </si>
  <si>
    <t>出库金额</t>
  </si>
  <si>
    <t>剩余数量</t>
  </si>
  <si>
    <t>剩余总额</t>
  </si>
  <si>
    <t>asd</t>
  </si>
  <si>
    <t>本期采购入库</t>
  </si>
  <si>
    <t>本期出库金额：</t>
  </si>
  <si>
    <t>报告日期：2026/2/1</t>
  </si>
  <si>
    <t>sadn</t>
  </si>
  <si>
    <t>ad</t>
  </si>
  <si>
    <t>qwe</t>
  </si>
  <si>
    <t>ew</t>
  </si>
  <si>
    <t>ry</t>
  </si>
  <si>
    <t>th</t>
  </si>
  <si>
    <t>ng</t>
  </si>
  <si>
    <t>nh</t>
  </si>
  <si>
    <t>kj</t>
  </si>
  <si>
    <t>报告日期：2026/09/09</t>
  </si>
  <si>
    <t>本期出库金额</t>
  </si>
  <si>
    <t>总库存净额</t>
  </si>
  <si>
    <t>wer</t>
  </si>
  <si>
    <t>rty</t>
  </si>
  <si>
    <t>tyui</t>
  </si>
  <si>
    <t>bjhj</t>
  </si>
  <si>
    <t>fgbt</t>
  </si>
  <si>
    <t>dgs</t>
  </si>
  <si>
    <t>结转</t>
  </si>
  <si>
    <t>总商品净额</t>
  </si>
  <si>
    <t>原材料</t>
  </si>
  <si>
    <t>半成品（零件）</t>
  </si>
  <si>
    <t>库存商品</t>
  </si>
  <si>
    <t>累计折旧</t>
  </si>
  <si>
    <t>交易性金融资产</t>
  </si>
  <si>
    <t>借方（增加）</t>
  </si>
  <si>
    <t>贷方（减少）</t>
  </si>
  <si>
    <t>借方（减少）</t>
  </si>
  <si>
    <t>贷方（增加）</t>
  </si>
  <si>
    <t>期初</t>
  </si>
  <si>
    <t>本期累计发生</t>
  </si>
  <si>
    <t>本期余额</t>
  </si>
  <si>
    <t>应付职工薪酬</t>
  </si>
  <si>
    <t>贷方(增加）</t>
  </si>
  <si>
    <t>主营业务成本-存货成本</t>
  </si>
  <si>
    <t>主营业务成本-人工</t>
  </si>
  <si>
    <t>财务费用（利息费用）</t>
  </si>
  <si>
    <t>贷方(减少）</t>
  </si>
  <si>
    <t>资产负债表</t>
  </si>
  <si>
    <r>
      <rPr>
        <b/>
        <sz val="10"/>
        <rFont val="宋体"/>
        <charset val="134"/>
      </rPr>
      <t>X</t>
    </r>
    <r>
      <rPr>
        <b/>
        <sz val="10"/>
        <rFont val="宋体"/>
        <charset val="134"/>
      </rPr>
      <t>X</t>
    </r>
    <r>
      <rPr>
        <b/>
        <sz val="10"/>
        <rFont val="宋体"/>
        <charset val="134"/>
      </rPr>
      <t>贸易有限公司</t>
    </r>
  </si>
  <si>
    <t>2026年 7月 1日</t>
  </si>
  <si>
    <r>
      <rPr>
        <b/>
        <sz val="8"/>
        <rFont val="MS Song"/>
        <charset val="134"/>
      </rPr>
      <t>资</t>
    </r>
    <r>
      <rPr>
        <b/>
        <sz val="8"/>
        <rFont val="Times New Roman"/>
        <charset val="134"/>
      </rPr>
      <t xml:space="preserve">              </t>
    </r>
    <r>
      <rPr>
        <b/>
        <sz val="8"/>
        <rFont val="MS Song"/>
        <charset val="134"/>
      </rPr>
      <t>产</t>
    </r>
  </si>
  <si>
    <t>行次</t>
  </si>
  <si>
    <t>期末数</t>
  </si>
  <si>
    <t>负债及所有者权益</t>
  </si>
  <si>
    <t>流动资产：</t>
  </si>
  <si>
    <t>流动负债：</t>
  </si>
  <si>
    <t xml:space="preserve">  现金</t>
  </si>
  <si>
    <t xml:space="preserve">  短期借款</t>
  </si>
  <si>
    <t xml:space="preserve">  银行存款</t>
  </si>
  <si>
    <t xml:space="preserve">  应付票据</t>
  </si>
  <si>
    <t xml:space="preserve">  应付帐款</t>
  </si>
  <si>
    <t xml:space="preserve">  应收票据</t>
  </si>
  <si>
    <t xml:space="preserve">  预收帐款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</si>
  <si>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应收股利</t>
    </r>
  </si>
  <si>
    <t xml:space="preserve">  应付工资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</si>
  <si>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应收利息</t>
    </r>
  </si>
  <si>
    <t xml:space="preserve">  应付福利费</t>
  </si>
  <si>
    <t xml:space="preserve">  应收帐款</t>
  </si>
  <si>
    <t xml:space="preserve">  应付股利</t>
  </si>
  <si>
    <t xml:space="preserve">  减：坏帐准备</t>
  </si>
  <si>
    <t xml:space="preserve">  应交税金</t>
  </si>
  <si>
    <t xml:space="preserve">  其他应收款</t>
  </si>
  <si>
    <t xml:space="preserve">  其他应交款</t>
  </si>
  <si>
    <t xml:space="preserve">  预付帐款</t>
  </si>
  <si>
    <t xml:space="preserve">  其他应付款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</si>
  <si>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应收补贴款</t>
    </r>
  </si>
  <si>
    <t xml:space="preserve">  预提费用</t>
  </si>
  <si>
    <r>
      <rPr>
        <sz val="8"/>
        <rFont val="LF_Kai"/>
        <charset val="134"/>
      </rPr>
      <t xml:space="preserve"> </t>
    </r>
    <r>
      <rPr>
        <sz val="8"/>
        <rFont val="宋体"/>
        <charset val="134"/>
      </rPr>
      <t>原材料</t>
    </r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</si>
  <si>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预计负债</t>
    </r>
  </si>
  <si>
    <t xml:space="preserve">  减：存货变现损失准备</t>
  </si>
  <si>
    <t xml:space="preserve"> 库存商品</t>
  </si>
  <si>
    <t>1年内到期的长期债权投资</t>
  </si>
  <si>
    <t>流动资产合计</t>
  </si>
  <si>
    <t>流动负债合计</t>
  </si>
  <si>
    <t>长期投资：</t>
  </si>
  <si>
    <t>长期负债：</t>
  </si>
  <si>
    <t xml:space="preserve">    长期股权投资</t>
  </si>
  <si>
    <t xml:space="preserve">  长期借款</t>
  </si>
  <si>
    <t xml:space="preserve">    长期债权投资</t>
  </si>
  <si>
    <t xml:space="preserve">  应付债券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</si>
  <si>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长期应付款</t>
    </r>
  </si>
  <si>
    <t xml:space="preserve">  专项应付款</t>
  </si>
  <si>
    <r>
      <rPr>
        <sz val="8"/>
        <rFont val="LF_Kai"/>
        <charset val="134"/>
      </rPr>
      <t xml:space="preserve">  </t>
    </r>
    <r>
      <rPr>
        <sz val="8"/>
        <rFont val="LF_Kai"/>
        <charset val="134"/>
      </rPr>
      <t>其他长期负债</t>
    </r>
  </si>
  <si>
    <t>长期投资合计</t>
  </si>
  <si>
    <t>长期负债合计</t>
  </si>
  <si>
    <t>固定资产：</t>
  </si>
  <si>
    <t>其他负债：</t>
  </si>
  <si>
    <t xml:space="preserve">  固定资产原价</t>
  </si>
  <si>
    <t xml:space="preserve">  递延税款贷项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</si>
  <si>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累计折旧</t>
    </r>
  </si>
  <si>
    <t xml:space="preserve">  递延投资收益</t>
  </si>
  <si>
    <t xml:space="preserve">  固定资产净值</t>
  </si>
  <si>
    <t xml:space="preserve">  其他递延贷项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</si>
  <si>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固定资产减值准备</t>
    </r>
  </si>
  <si>
    <t xml:space="preserve">  固定资产净额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</si>
  <si>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工程物资</t>
    </r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</si>
  <si>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在建工程</t>
    </r>
  </si>
  <si>
    <t xml:space="preserve">  固定资产清理</t>
  </si>
  <si>
    <t>固定资产合计</t>
  </si>
  <si>
    <t>其他负债合计</t>
  </si>
  <si>
    <t>负债合计</t>
  </si>
  <si>
    <t>所有者权益：</t>
  </si>
  <si>
    <t xml:space="preserve">  资本总额</t>
  </si>
  <si>
    <t xml:space="preserve">    (货币名称及金额    )</t>
  </si>
  <si>
    <t>无形资产：</t>
  </si>
  <si>
    <t xml:space="preserve">  实收资本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</si>
  <si>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土地使用权</t>
    </r>
  </si>
  <si>
    <t xml:space="preserve">    (非人民币资本期末余额  )</t>
  </si>
  <si>
    <t xml:space="preserve">  工业产权及专有技术</t>
  </si>
  <si>
    <t xml:space="preserve">  其中：中方投资</t>
  </si>
  <si>
    <t xml:space="preserve">  其他无形资产</t>
  </si>
  <si>
    <t xml:space="preserve">    (非人民币资本期末余额     )</t>
  </si>
  <si>
    <t xml:space="preserve">                外方投资</t>
  </si>
  <si>
    <t xml:space="preserve">  减：已归还投资</t>
  </si>
  <si>
    <t>无形资产合计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</si>
  <si>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资本公积</t>
    </r>
  </si>
  <si>
    <t>其他资产：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</si>
  <si>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盈余公积</t>
    </r>
  </si>
  <si>
    <t xml:space="preserve"> 开办费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</si>
  <si>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其中：法定公益金</t>
    </r>
  </si>
  <si>
    <r>
      <rPr>
        <sz val="8"/>
        <rFont val="Times New Roman"/>
        <charset val="134"/>
      </rPr>
      <t xml:space="preserve"> </t>
    </r>
    <r>
      <rPr>
        <sz val="8"/>
        <rFont val="宋体"/>
        <charset val="134"/>
      </rPr>
      <t>其他长期资产</t>
    </r>
  </si>
  <si>
    <t xml:space="preserve">  本年利润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</si>
  <si>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递延税款借项</t>
    </r>
  </si>
  <si>
    <t xml:space="preserve">  未分配利润</t>
  </si>
  <si>
    <t>其他资产合计</t>
  </si>
  <si>
    <t>所有者权益合计</t>
  </si>
  <si>
    <t>资产总计</t>
  </si>
  <si>
    <t>负债及所有者权益总计</t>
  </si>
  <si>
    <t>利润表</t>
  </si>
  <si>
    <r>
      <rPr>
        <sz val="10"/>
        <rFont val="Times New Roman"/>
        <charset val="134"/>
      </rPr>
      <t>2026</t>
    </r>
    <r>
      <rPr>
        <sz val="10"/>
        <rFont val="宋体"/>
        <charset val="134"/>
      </rPr>
      <t>年 7月 1日</t>
    </r>
  </si>
  <si>
    <r>
      <rPr>
        <b/>
        <sz val="8"/>
        <rFont val="MS Song"/>
        <charset val="134"/>
      </rPr>
      <t>项</t>
    </r>
    <r>
      <rPr>
        <b/>
        <sz val="8"/>
        <rFont val="Times New Roman"/>
        <charset val="134"/>
      </rPr>
      <t xml:space="preserve">            </t>
    </r>
    <r>
      <rPr>
        <b/>
        <sz val="8"/>
        <rFont val="MS Song"/>
        <charset val="134"/>
      </rPr>
      <t>目</t>
    </r>
  </si>
  <si>
    <t>本年累计数</t>
  </si>
  <si>
    <t xml:space="preserve">  主营业务收入</t>
  </si>
  <si>
    <t>1</t>
  </si>
  <si>
    <r>
      <rPr>
        <sz val="8"/>
        <rFont val="LF_Kai"/>
        <charset val="134"/>
      </rPr>
      <t xml:space="preserve">    </t>
    </r>
    <r>
      <rPr>
        <sz val="8"/>
        <rFont val="宋体"/>
        <charset val="134"/>
      </rPr>
      <t>其中：产品（商品）销售收入</t>
    </r>
  </si>
  <si>
    <t>2</t>
  </si>
  <si>
    <t xml:space="preserve"> </t>
  </si>
  <si>
    <t>3</t>
  </si>
  <si>
    <t>4</t>
  </si>
  <si>
    <t>5</t>
  </si>
  <si>
    <r>
      <rPr>
        <b/>
        <sz val="8"/>
        <rFont val="LF_Kai"/>
        <charset val="134"/>
      </rPr>
      <t xml:space="preserve">  </t>
    </r>
    <r>
      <rPr>
        <b/>
        <sz val="8"/>
        <rFont val="宋体"/>
        <charset val="134"/>
      </rPr>
      <t>主营业务收入</t>
    </r>
  </si>
  <si>
    <t>6</t>
  </si>
  <si>
    <t xml:space="preserve">  减：主营业务成本</t>
  </si>
  <si>
    <t>7</t>
  </si>
  <si>
    <r>
      <rPr>
        <sz val="8"/>
        <rFont val="LF_Kai"/>
        <charset val="134"/>
      </rPr>
      <t xml:space="preserve">         </t>
    </r>
    <r>
      <rPr>
        <sz val="8"/>
        <rFont val="宋体"/>
        <charset val="134"/>
      </rPr>
      <t>主营业务税金及附加</t>
    </r>
  </si>
  <si>
    <t>8</t>
  </si>
  <si>
    <t>9</t>
  </si>
  <si>
    <t>10</t>
  </si>
  <si>
    <t>11</t>
  </si>
  <si>
    <t xml:space="preserve">  主营业务利润</t>
  </si>
  <si>
    <t>12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</si>
  <si>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减：营业费用</t>
    </r>
  </si>
  <si>
    <t>13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</si>
  <si>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管理费用</t>
    </r>
  </si>
  <si>
    <t>14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</si>
  <si>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财务费用</t>
    </r>
  </si>
  <si>
    <t>15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</si>
  <si>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其中：利息支出</t>
    </r>
    <r>
      <rPr>
        <sz val="8"/>
        <rFont val="LF_Kai"/>
        <charset val="134"/>
      </rPr>
      <t>(</t>
    </r>
    <r>
      <rPr>
        <sz val="8"/>
        <rFont val="宋体"/>
        <charset val="134"/>
      </rPr>
      <t>减利息收入</t>
    </r>
    <r>
      <rPr>
        <sz val="8"/>
        <rFont val="LF_Kai"/>
        <charset val="134"/>
      </rPr>
      <t>)</t>
    </r>
  </si>
  <si>
    <t>16</t>
  </si>
  <si>
    <r>
      <rPr>
        <sz val="8"/>
        <rFont val="LF_Kai"/>
        <charset val="134"/>
      </rPr>
      <t xml:space="preserve">                     </t>
    </r>
    <r>
      <rPr>
        <sz val="8"/>
        <rFont val="宋体"/>
        <charset val="134"/>
      </rPr>
      <t>汇兑损失</t>
    </r>
    <r>
      <rPr>
        <sz val="8"/>
        <rFont val="LF_Kai"/>
        <charset val="134"/>
      </rPr>
      <t>(</t>
    </r>
    <r>
      <rPr>
        <sz val="8"/>
        <rFont val="宋体"/>
        <charset val="134"/>
      </rPr>
      <t>减汇兑收益</t>
    </r>
    <r>
      <rPr>
        <sz val="8"/>
        <rFont val="LF_Kai"/>
        <charset val="134"/>
      </rPr>
      <t>)</t>
    </r>
  </si>
  <si>
    <t>17</t>
  </si>
  <si>
    <t>18</t>
  </si>
  <si>
    <t xml:space="preserve">  加：其他业务收入</t>
  </si>
  <si>
    <t>19</t>
  </si>
  <si>
    <t>20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</si>
  <si>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减：存货跌价损失</t>
    </r>
  </si>
  <si>
    <t>21</t>
  </si>
  <si>
    <t xml:space="preserve">  营业利润</t>
  </si>
  <si>
    <t>22</t>
  </si>
  <si>
    <t xml:space="preserve">  加：投资收益</t>
  </si>
  <si>
    <t>23</t>
  </si>
  <si>
    <t xml:space="preserve">          补贴收入</t>
  </si>
  <si>
    <t>24</t>
  </si>
  <si>
    <t xml:space="preserve">          营业外收入</t>
  </si>
  <si>
    <t>25</t>
  </si>
  <si>
    <t xml:space="preserve">  减：营业外支出</t>
  </si>
  <si>
    <t>26</t>
  </si>
  <si>
    <t>27</t>
  </si>
  <si>
    <t>28</t>
  </si>
  <si>
    <t xml:space="preserve">  利润总额</t>
  </si>
  <si>
    <t>29</t>
  </si>
  <si>
    <t xml:space="preserve">  减：所得税</t>
  </si>
  <si>
    <t>30</t>
  </si>
  <si>
    <t xml:space="preserve">  净利润</t>
  </si>
  <si>
    <t>增加</t>
  </si>
  <si>
    <t>减少</t>
  </si>
  <si>
    <t>sum</t>
  </si>
  <si>
    <t>现金流量表</t>
  </si>
  <si>
    <t>编制单位：XX公司</t>
  </si>
  <si>
    <t>项目</t>
  </si>
  <si>
    <t>本年金额</t>
  </si>
  <si>
    <t>一、经营活动产生的现金流量：</t>
  </si>
  <si>
    <t>取得的提供服务收到的现金</t>
  </si>
  <si>
    <t>投资活动现金流出小计</t>
  </si>
  <si>
    <t>投资活动产生的现金流量净额</t>
  </si>
  <si>
    <t>三、筹资活动产生的现金流量：</t>
  </si>
  <si>
    <t>其中：子公司吸收少数股东投资收到的现金</t>
  </si>
  <si>
    <t>经营活动现金流入小计</t>
  </si>
  <si>
    <t>筹资活动现金流入小计</t>
  </si>
  <si>
    <t>分配股利、利润支付的现金</t>
  </si>
  <si>
    <t>经营活动现金流出小计</t>
  </si>
  <si>
    <t>其中：子公司支付给少数股东的股利、利润</t>
  </si>
  <si>
    <t>经营活动产生的现金流量净额</t>
  </si>
  <si>
    <t>二、投资活动产生的现金流量：</t>
  </si>
  <si>
    <t>筹资活动现金流出小计</t>
  </si>
  <si>
    <t>筹资活动产生的现金流量净额</t>
  </si>
  <si>
    <t>四、汇率变动对现金及现金等价物的影响</t>
  </si>
  <si>
    <t>五、现金及现金等价物净(减少)/增加额</t>
  </si>
  <si>
    <t>加：期初现金及现金等价物余额</t>
  </si>
  <si>
    <t>投资活动现金流入小计</t>
  </si>
  <si>
    <t>六、期末现金及现金等价物余额</t>
  </si>
  <si>
    <t>法定代表人：</t>
  </si>
  <si>
    <t>主管会计工作负责人：</t>
  </si>
  <si>
    <t>会计机构负责人：</t>
  </si>
  <si>
    <t>常用财务分析表</t>
  </si>
  <si>
    <t>指标意义</t>
  </si>
  <si>
    <t>指标计算公式</t>
  </si>
  <si>
    <t>指标数值</t>
  </si>
  <si>
    <t>备注</t>
  </si>
  <si>
    <t>短期偿债能力</t>
  </si>
  <si>
    <t>营运资本=流动资产-流动负债</t>
  </si>
  <si>
    <t>流动资产超过流动负债的部分</t>
  </si>
  <si>
    <t>流动比率=流动资产/流动负债</t>
  </si>
  <si>
    <t>最常见的反映企业短期偿债能力的指标</t>
  </si>
  <si>
    <t>速动比率=速动资产/流动负债</t>
  </si>
  <si>
    <t>速动资产为扣除存货后的流动资产</t>
  </si>
  <si>
    <t>现金比率=（货币资金+交易性金融资产）/流动负债</t>
  </si>
  <si>
    <t>表示一元流动负债有多少现金作为偿还保障</t>
  </si>
  <si>
    <t>现金流动比率=年经营现金净流量/年底流动负债</t>
  </si>
  <si>
    <t>长期偿债能力</t>
  </si>
  <si>
    <t>资产负债率=（总负债/总资产）*100%</t>
  </si>
  <si>
    <t>总债务存量比率</t>
  </si>
  <si>
    <t>产权比率=（总负债/所有者权益）*100%</t>
  </si>
  <si>
    <t>权益乘数=总资产/所有者权益</t>
  </si>
  <si>
    <t>利息保障倍数=息税前利润总额\利息支出</t>
  </si>
  <si>
    <t>衡量企业偿付借款利息的能力</t>
  </si>
  <si>
    <t>运营能力</t>
  </si>
  <si>
    <t>应收账款周转率=营业收入/平均应收账款余额(（期初+期末）/2)</t>
  </si>
  <si>
    <r>
      <rPr>
        <sz val="12"/>
        <rFont val="宋体"/>
        <charset val="134"/>
      </rPr>
      <t>应收账款一年周转的次数或每</t>
    </r>
    <r>
      <rPr>
        <sz val="12"/>
        <rFont val="MS Sans Serif"/>
        <charset val="134"/>
      </rPr>
      <t>1</t>
    </r>
    <r>
      <rPr>
        <sz val="12"/>
        <rFont val="宋体"/>
        <charset val="134"/>
      </rPr>
      <t>元应收账款投资支持的销售收入</t>
    </r>
  </si>
  <si>
    <t>存货周转率=营业成本/平均存货余额</t>
  </si>
  <si>
    <t>存货的周转次数</t>
  </si>
  <si>
    <t>流动资产周转率=营业收入/平均流动资产总额</t>
  </si>
  <si>
    <t>一个会计年度企业流动资产周转的次数</t>
  </si>
  <si>
    <t>非流动资产周转率=营业收入/非流动资产平均总额</t>
  </si>
  <si>
    <t>总资产周转率=营业收入/平均资产总额</t>
  </si>
  <si>
    <t>盈利能力</t>
  </si>
  <si>
    <t>销售毛利率=（主营业务利润/销售收入）*100%</t>
  </si>
  <si>
    <t>销售净利率=（净利润/销售收入）*100%</t>
  </si>
  <si>
    <t>资产利润率=（息税前净利润/平均总资产）*100%</t>
  </si>
  <si>
    <t>权益报酬率/净资产收益率=(净利润/股东权益)*100%</t>
  </si>
  <si>
    <t>每股收益=净利润/普通股总数</t>
  </si>
  <si>
    <t>每股股利=股利总额/普通股总数</t>
  </si>
  <si>
    <t>股利发放率=每股股利/每股收益*100%</t>
  </si>
  <si>
    <t>市盈率（P/E）=普通股每股股价/普通股每股市价</t>
  </si>
  <si>
    <t>市净率=每股市场价格/每股净资产</t>
  </si>
  <si>
    <t>发展能力</t>
  </si>
  <si>
    <t>营业收入增长率=本年营业收入增长额/上年营业收入总额</t>
  </si>
  <si>
    <t>营业利润增长率=本年营业利润增长额/上年营业利润总额</t>
  </si>
  <si>
    <t>总资产增长率=本年总资产增长额/年初资产总额</t>
  </si>
  <si>
    <t>资本积累率=本年所有者权益增长额/年初所有者权益</t>
  </si>
  <si>
    <t>资本保值增值率=扣除客观因素后年末所有者权益额/年初所有者权益</t>
  </si>
  <si>
    <t>其他常用财务指标</t>
  </si>
  <si>
    <t>每股净资产=净资产/实收资本（股本）</t>
  </si>
  <si>
    <t>非上市公司每股收益率=净利润/实收资本（股本）</t>
  </si>
  <si>
    <t>上市公司每股收益率=(收盘价-买入价)/买入价</t>
  </si>
  <si>
    <t>杜邦财务分析体系（The Du Pont System)</t>
  </si>
  <si>
    <t>净资产收益率=销售利润率*总资产周转率*权益乘数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</si>
</sst>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00000_-;\-* #,##0.0000000_-;_-* &quot;-&quot;???????_-;_-@_-"/>
    <numFmt numFmtId="177" formatCode="0_ "/>
    <numFmt numFmtId="178" formatCode="#,##0.00;[Red]\(#,##0.00\)"/>
    <numFmt numFmtId="179" formatCode="0_);[Red]\(0\)"/>
    <numFmt numFmtId="180" formatCode="_-* #,##0.00_-;\-* #,##0.00_-;_-* &quot;-&quot;??_-;_-@_-"/>
  </numFmts>
  <fonts count="65">
    <font>
      <sz val="10"/>
      <name val="MS Sans Serif"/>
      <charset val="134"/>
    </font>
    <font>
      <b/>
      <sz val="12"/>
      <name val="宋体"/>
      <charset val="134"/>
    </font>
    <font>
      <b/>
      <sz val="12"/>
      <name val="MS Sans Serif"/>
      <charset val="134"/>
    </font>
    <font>
      <sz val="12"/>
      <name val="宋体"/>
      <charset val="134"/>
    </font>
    <font>
      <sz val="12"/>
      <name val="MS Sans Serif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b/>
      <sz val="18"/>
      <color indexed="8"/>
      <name val="微软雅黑"/>
      <charset val="134"/>
    </font>
    <font>
      <sz val="10"/>
      <name val="微软雅黑"/>
      <charset val="134"/>
    </font>
    <font>
      <b/>
      <sz val="10"/>
      <color indexed="8"/>
      <name val="微软雅黑"/>
      <charset val="134"/>
    </font>
    <font>
      <sz val="9"/>
      <name val="微软雅黑"/>
      <charset val="134"/>
    </font>
    <font>
      <b/>
      <sz val="12"/>
      <name val="楷体"/>
      <charset val="134"/>
    </font>
    <font>
      <sz val="10"/>
      <color rgb="FFFF0000"/>
      <name val="宋体"/>
      <charset val="134"/>
    </font>
    <font>
      <sz val="11"/>
      <name val="仿宋"/>
      <charset val="134"/>
    </font>
    <font>
      <sz val="12"/>
      <name val="楷体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8"/>
      <name val="Times New Roman"/>
      <charset val="134"/>
    </font>
    <font>
      <sz val="8"/>
      <name val="Times New Roman"/>
      <charset val="134"/>
    </font>
    <font>
      <sz val="10"/>
      <name val="LF_Kai"/>
      <charset val="134"/>
    </font>
    <font>
      <b/>
      <sz val="10"/>
      <name val="LF_Kai"/>
      <charset val="134"/>
    </font>
    <font>
      <b/>
      <sz val="10"/>
      <name val="MS Song"/>
      <charset val="134"/>
    </font>
    <font>
      <b/>
      <sz val="10"/>
      <name val="宋体"/>
      <charset val="134"/>
    </font>
    <font>
      <b/>
      <sz val="8"/>
      <name val="MS Song"/>
      <charset val="134"/>
    </font>
    <font>
      <sz val="8"/>
      <name val="MS Song"/>
      <charset val="134"/>
    </font>
    <font>
      <b/>
      <sz val="8"/>
      <name val="LF_Kai"/>
      <charset val="134"/>
    </font>
    <font>
      <sz val="8"/>
      <name val="LF_Kai"/>
      <charset val="134"/>
    </font>
    <font>
      <b/>
      <sz val="11"/>
      <name val="Arial"/>
      <charset val="134"/>
    </font>
    <font>
      <sz val="8"/>
      <name val="宋体"/>
      <charset val="134"/>
    </font>
    <font>
      <sz val="10"/>
      <name val="MS Sans Serif"/>
      <charset val="134"/>
    </font>
    <font>
      <b/>
      <sz val="11"/>
      <name val="宋体"/>
      <charset val="134"/>
    </font>
    <font>
      <b/>
      <sz val="11"/>
      <name val="MS Sans Serif"/>
      <charset val="134"/>
    </font>
    <font>
      <sz val="11"/>
      <color indexed="8"/>
      <name val="宋体"/>
      <charset val="134"/>
    </font>
    <font>
      <b/>
      <sz val="10"/>
      <name val="MS Sans Serif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sz val="10"/>
      <color theme="0"/>
      <name val="MS Sans Serif"/>
      <charset val="134"/>
    </font>
    <font>
      <sz val="11"/>
      <color indexed="10"/>
      <name val="宋体"/>
      <charset val="134"/>
    </font>
    <font>
      <sz val="10"/>
      <color indexed="10"/>
      <name val="MS Sans Serif"/>
      <charset val="134"/>
    </font>
    <font>
      <sz val="10"/>
      <name val="宋体"/>
      <charset val="134"/>
    </font>
    <font>
      <sz val="16"/>
      <name val="楷体"/>
      <charset val="134"/>
    </font>
    <font>
      <b/>
      <sz val="16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宋体"/>
      <charset val="134"/>
    </font>
    <font>
      <sz val="12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6" borderId="49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50" applyNumberFormat="0" applyFill="0" applyAlignment="0" applyProtection="0">
      <alignment vertical="center"/>
    </xf>
    <xf numFmtId="0" fontId="50" fillId="0" borderId="50" applyNumberFormat="0" applyFill="0" applyAlignment="0" applyProtection="0">
      <alignment vertical="center"/>
    </xf>
    <xf numFmtId="0" fontId="51" fillId="0" borderId="5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7" borderId="52" applyNumberFormat="0" applyAlignment="0" applyProtection="0">
      <alignment vertical="center"/>
    </xf>
    <xf numFmtId="0" fontId="53" fillId="18" borderId="53" applyNumberFormat="0" applyAlignment="0" applyProtection="0">
      <alignment vertical="center"/>
    </xf>
    <xf numFmtId="0" fontId="54" fillId="18" borderId="52" applyNumberFormat="0" applyAlignment="0" applyProtection="0">
      <alignment vertical="center"/>
    </xf>
    <xf numFmtId="0" fontId="55" fillId="19" borderId="54" applyNumberFormat="0" applyAlignment="0" applyProtection="0">
      <alignment vertical="center"/>
    </xf>
    <xf numFmtId="0" fontId="56" fillId="0" borderId="55" applyNumberFormat="0" applyFill="0" applyAlignment="0" applyProtection="0">
      <alignment vertical="center"/>
    </xf>
    <xf numFmtId="0" fontId="57" fillId="0" borderId="56" applyNumberFormat="0" applyFill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</cellStyleXfs>
  <cellXfs count="324"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/>
    <xf numFmtId="43" fontId="4" fillId="0" borderId="5" xfId="4" applyNumberFormat="1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4" fillId="0" borderId="5" xfId="4" applyNumberFormat="1" applyFont="1" applyBorder="1" applyAlignment="1"/>
    <xf numFmtId="41" fontId="4" fillId="0" borderId="5" xfId="4" applyFont="1" applyBorder="1" applyAlignment="1"/>
    <xf numFmtId="0" fontId="5" fillId="0" borderId="6" xfId="0" applyFont="1" applyBorder="1" applyAlignment="1"/>
    <xf numFmtId="9" fontId="4" fillId="0" borderId="5" xfId="4" applyNumberFormat="1" applyFont="1" applyBorder="1" applyAlignment="1"/>
    <xf numFmtId="0" fontId="0" fillId="0" borderId="6" xfId="0" applyBorder="1" applyAlignment="1"/>
    <xf numFmtId="176" fontId="4" fillId="0" borderId="5" xfId="4" applyNumberFormat="1" applyFont="1" applyBorder="1" applyAlignme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/>
    <xf numFmtId="41" fontId="4" fillId="0" borderId="11" xfId="4" applyFont="1" applyBorder="1" applyAlignment="1"/>
    <xf numFmtId="0" fontId="0" fillId="0" borderId="12" xfId="0" applyBorder="1" applyAlignment="1"/>
    <xf numFmtId="0" fontId="3" fillId="0" borderId="0" xfId="0" applyFont="1" applyAlignment="1"/>
    <xf numFmtId="41" fontId="4" fillId="0" borderId="0" xfId="4" applyFont="1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1" fontId="9" fillId="0" borderId="0" xfId="49" applyNumberFormat="1" applyFont="1" applyAlignment="1">
      <alignment horizontal="center" vertical="center"/>
    </xf>
    <xf numFmtId="31" fontId="9" fillId="0" borderId="0" xfId="49" applyNumberFormat="1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4" xfId="0" applyFont="1" applyFill="1" applyBorder="1">
      <alignment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left" vertical="center" indent="1"/>
    </xf>
    <xf numFmtId="43" fontId="6" fillId="0" borderId="6" xfId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43" fontId="6" fillId="0" borderId="5" xfId="1" applyFont="1" applyBorder="1" applyAlignment="1">
      <alignment vertical="center"/>
    </xf>
    <xf numFmtId="43" fontId="6" fillId="0" borderId="6" xfId="1" applyFont="1" applyBorder="1" applyAlignment="1">
      <alignment vertical="center"/>
    </xf>
    <xf numFmtId="0" fontId="10" fillId="3" borderId="5" xfId="0" applyFont="1" applyFill="1" applyBorder="1" applyAlignment="1">
      <alignment horizontal="left" vertical="center" indent="2"/>
    </xf>
    <xf numFmtId="0" fontId="10" fillId="0" borderId="5" xfId="0" applyFont="1" applyBorder="1">
      <alignment vertical="center"/>
    </xf>
    <xf numFmtId="43" fontId="6" fillId="3" borderId="6" xfId="1" applyFont="1" applyFill="1" applyBorder="1" applyAlignment="1">
      <alignment vertical="center"/>
    </xf>
    <xf numFmtId="0" fontId="10" fillId="4" borderId="5" xfId="0" applyFont="1" applyFill="1" applyBorder="1" applyAlignment="1">
      <alignment horizontal="left" vertical="center" indent="2"/>
    </xf>
    <xf numFmtId="43" fontId="10" fillId="4" borderId="6" xfId="0" applyNumberFormat="1" applyFont="1" applyFill="1" applyBorder="1">
      <alignment vertical="center"/>
    </xf>
    <xf numFmtId="0" fontId="10" fillId="2" borderId="5" xfId="0" applyFont="1" applyFill="1" applyBorder="1">
      <alignment vertical="center"/>
    </xf>
    <xf numFmtId="43" fontId="10" fillId="0" borderId="6" xfId="0" applyNumberFormat="1" applyFont="1" applyBorder="1">
      <alignment vertical="center"/>
    </xf>
    <xf numFmtId="0" fontId="6" fillId="0" borderId="5" xfId="0" applyFont="1" applyBorder="1" applyAlignment="1">
      <alignment horizontal="left" vertical="center" indent="2"/>
    </xf>
    <xf numFmtId="0" fontId="10" fillId="3" borderId="4" xfId="0" applyFont="1" applyFill="1" applyBorder="1" applyAlignment="1">
      <alignment horizontal="left" vertical="center" indent="2"/>
    </xf>
    <xf numFmtId="43" fontId="10" fillId="3" borderId="5" xfId="0" applyNumberFormat="1" applyFont="1" applyFill="1" applyBorder="1">
      <alignment vertical="center"/>
    </xf>
    <xf numFmtId="43" fontId="10" fillId="3" borderId="6" xfId="1" applyFont="1" applyFill="1" applyBorder="1" applyAlignment="1">
      <alignment vertical="center"/>
    </xf>
    <xf numFmtId="43" fontId="6" fillId="0" borderId="6" xfId="0" applyNumberFormat="1" applyFont="1" applyBorder="1">
      <alignment vertical="center"/>
    </xf>
    <xf numFmtId="0" fontId="10" fillId="4" borderId="4" xfId="0" applyFont="1" applyFill="1" applyBorder="1" applyAlignment="1">
      <alignment horizontal="left" vertical="center" indent="2"/>
    </xf>
    <xf numFmtId="43" fontId="10" fillId="4" borderId="5" xfId="0" applyNumberFormat="1" applyFont="1" applyFill="1" applyBorder="1">
      <alignment vertical="center"/>
    </xf>
    <xf numFmtId="0" fontId="6" fillId="0" borderId="6" xfId="0" applyFont="1" applyBorder="1">
      <alignment vertical="center"/>
    </xf>
    <xf numFmtId="0" fontId="10" fillId="3" borderId="10" xfId="0" applyFont="1" applyFill="1" applyBorder="1" applyAlignment="1">
      <alignment horizontal="left" vertical="center" indent="2"/>
    </xf>
    <xf numFmtId="0" fontId="10" fillId="0" borderId="11" xfId="0" applyFont="1" applyBorder="1">
      <alignment vertical="center"/>
    </xf>
    <xf numFmtId="43" fontId="10" fillId="3" borderId="11" xfId="0" applyNumberFormat="1" applyFont="1" applyFill="1" applyBorder="1">
      <alignment vertical="center"/>
    </xf>
    <xf numFmtId="43" fontId="10" fillId="5" borderId="12" xfId="0" applyNumberFormat="1" applyFont="1" applyFill="1" applyBorder="1">
      <alignment vertical="center"/>
    </xf>
    <xf numFmtId="43" fontId="6" fillId="0" borderId="0" xfId="0" applyNumberFormat="1" applyFont="1">
      <alignment vertical="center"/>
    </xf>
    <xf numFmtId="0" fontId="11" fillId="0" borderId="14" xfId="49" applyFont="1" applyBorder="1">
      <alignment vertical="center"/>
    </xf>
    <xf numFmtId="0" fontId="11" fillId="0" borderId="14" xfId="49" applyFont="1" applyBorder="1" applyAlignment="1">
      <alignment horizontal="right" vertical="center"/>
    </xf>
    <xf numFmtId="0" fontId="0" fillId="6" borderId="0" xfId="0" applyFill="1" applyAlignment="1"/>
    <xf numFmtId="0" fontId="5" fillId="0" borderId="15" xfId="0" applyFont="1" applyBorder="1" applyAlignment="1"/>
    <xf numFmtId="0" fontId="6" fillId="0" borderId="15" xfId="52" applyFont="1" applyBorder="1" applyAlignment="1">
      <alignment horizontal="left" vertical="center" indent="1"/>
    </xf>
    <xf numFmtId="0" fontId="6" fillId="0" borderId="15" xfId="60" applyFont="1" applyBorder="1" applyAlignment="1">
      <alignment horizontal="left" vertical="center" indent="1"/>
    </xf>
    <xf numFmtId="0" fontId="6" fillId="7" borderId="15" xfId="60" applyFont="1" applyFill="1" applyBorder="1" applyAlignment="1">
      <alignment horizontal="left" vertical="center" indent="1"/>
    </xf>
    <xf numFmtId="0" fontId="6" fillId="0" borderId="15" xfId="61" applyFont="1" applyBorder="1" applyAlignment="1">
      <alignment horizontal="left" vertical="center" indent="1"/>
    </xf>
    <xf numFmtId="0" fontId="6" fillId="7" borderId="15" xfId="61" applyFont="1" applyFill="1" applyBorder="1" applyAlignment="1">
      <alignment horizontal="left" vertical="center" indent="1"/>
    </xf>
    <xf numFmtId="0" fontId="6" fillId="0" borderId="15" xfId="62" applyFont="1" applyBorder="1" applyAlignment="1">
      <alignment horizontal="left" vertical="center" indent="1"/>
    </xf>
    <xf numFmtId="0" fontId="6" fillId="0" borderId="15" xfId="63" applyFont="1" applyBorder="1" applyAlignment="1">
      <alignment horizontal="left" vertical="center" indent="1"/>
    </xf>
    <xf numFmtId="0" fontId="6" fillId="0" borderId="15" xfId="64" applyFont="1" applyBorder="1" applyAlignment="1">
      <alignment horizontal="left" vertical="center" indent="1"/>
    </xf>
    <xf numFmtId="0" fontId="12" fillId="0" borderId="15" xfId="0" applyFont="1" applyBorder="1" applyAlignment="1">
      <alignment horizontal="center"/>
    </xf>
    <xf numFmtId="0" fontId="5" fillId="0" borderId="0" xfId="0" applyFont="1" applyAlignment="1"/>
    <xf numFmtId="0" fontId="13" fillId="0" borderId="0" xfId="0" applyFont="1" applyAlignment="1"/>
    <xf numFmtId="43" fontId="14" fillId="0" borderId="15" xfId="1" applyFont="1" applyBorder="1" applyAlignment="1"/>
    <xf numFmtId="0" fontId="15" fillId="0" borderId="15" xfId="0" applyFont="1" applyBorder="1" applyAlignment="1">
      <alignment horizontal="center"/>
    </xf>
    <xf numFmtId="177" fontId="14" fillId="0" borderId="15" xfId="1" applyNumberFormat="1" applyFont="1" applyBorder="1" applyAlignment="1">
      <alignment horizontal="right"/>
    </xf>
    <xf numFmtId="0" fontId="14" fillId="0" borderId="15" xfId="0" applyFont="1" applyBorder="1" applyAlignment="1"/>
    <xf numFmtId="49" fontId="0" fillId="0" borderId="0" xfId="0" applyNumberFormat="1" applyAlignment="1"/>
    <xf numFmtId="43" fontId="5" fillId="0" borderId="15" xfId="0" applyNumberFormat="1" applyFont="1" applyBorder="1" applyAlignment="1"/>
    <xf numFmtId="0" fontId="16" fillId="0" borderId="0" xfId="0" applyFont="1" applyAlignment="1"/>
    <xf numFmtId="0" fontId="17" fillId="0" borderId="16" xfId="0" applyFont="1" applyBorder="1" applyAlignment="1"/>
    <xf numFmtId="0" fontId="18" fillId="0" borderId="0" xfId="0" applyFont="1" applyAlignment="1"/>
    <xf numFmtId="0" fontId="19" fillId="0" borderId="0" xfId="0" applyFont="1" applyAlignment="1"/>
    <xf numFmtId="0" fontId="19" fillId="0" borderId="16" xfId="0" applyFont="1" applyBorder="1" applyAlignment="1"/>
    <xf numFmtId="0" fontId="18" fillId="0" borderId="17" xfId="0" applyFont="1" applyBorder="1" applyAlignment="1"/>
    <xf numFmtId="0" fontId="20" fillId="0" borderId="0" xfId="0" applyFont="1" applyAlignment="1"/>
    <xf numFmtId="0" fontId="17" fillId="0" borderId="0" xfId="0" applyFont="1" applyAlignment="1">
      <alignment horizontal="center"/>
    </xf>
    <xf numFmtId="43" fontId="17" fillId="0" borderId="0" xfId="1" applyFont="1" applyFill="1" applyAlignment="1"/>
    <xf numFmtId="0" fontId="17" fillId="0" borderId="0" xfId="0" applyFont="1" applyAlignment="1"/>
    <xf numFmtId="0" fontId="21" fillId="0" borderId="0" xfId="0" applyFont="1" applyAlignment="1"/>
    <xf numFmtId="0" fontId="22" fillId="0" borderId="18" xfId="0" applyFont="1" applyBorder="1" applyAlignment="1">
      <alignment horizontal="center"/>
    </xf>
    <xf numFmtId="43" fontId="16" fillId="0" borderId="0" xfId="1" applyFont="1" applyFill="1" applyAlignment="1"/>
    <xf numFmtId="0" fontId="22" fillId="0" borderId="0" xfId="0" applyFont="1" applyAlignment="1">
      <alignment horizontal="center"/>
    </xf>
    <xf numFmtId="0" fontId="23" fillId="0" borderId="0" xfId="0" applyFont="1" applyAlignment="1"/>
    <xf numFmtId="0" fontId="17" fillId="0" borderId="16" xfId="0" applyFont="1" applyBorder="1" applyAlignment="1">
      <alignment horizontal="center"/>
    </xf>
    <xf numFmtId="43" fontId="17" fillId="0" borderId="16" xfId="1" applyFont="1" applyFill="1" applyBorder="1" applyAlignment="1"/>
    <xf numFmtId="0" fontId="24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43" fontId="25" fillId="0" borderId="21" xfId="1" applyFont="1" applyFill="1" applyBorder="1" applyAlignment="1">
      <alignment horizontal="center"/>
    </xf>
    <xf numFmtId="0" fontId="26" fillId="0" borderId="22" xfId="0" applyFont="1" applyBorder="1" applyAlignment="1"/>
    <xf numFmtId="0" fontId="19" fillId="0" borderId="23" xfId="0" applyFont="1" applyBorder="1" applyAlignment="1">
      <alignment horizontal="center"/>
    </xf>
    <xf numFmtId="43" fontId="18" fillId="0" borderId="23" xfId="1" applyFont="1" applyFill="1" applyBorder="1" applyAlignment="1"/>
    <xf numFmtId="0" fontId="27" fillId="0" borderId="24" xfId="0" applyFont="1" applyBorder="1" applyAlignment="1"/>
    <xf numFmtId="0" fontId="19" fillId="0" borderId="5" xfId="0" applyFont="1" applyBorder="1" applyAlignment="1">
      <alignment horizontal="center"/>
    </xf>
    <xf numFmtId="43" fontId="19" fillId="0" borderId="5" xfId="1" applyFont="1" applyFill="1" applyBorder="1" applyAlignment="1"/>
    <xf numFmtId="0" fontId="27" fillId="0" borderId="25" xfId="0" applyFont="1" applyBorder="1" applyAlignment="1"/>
    <xf numFmtId="178" fontId="19" fillId="0" borderId="11" xfId="0" applyNumberFormat="1" applyFont="1" applyBorder="1" applyAlignment="1">
      <alignment horizontal="center"/>
    </xf>
    <xf numFmtId="43" fontId="19" fillId="0" borderId="11" xfId="1" applyFont="1" applyFill="1" applyBorder="1" applyAlignment="1"/>
    <xf numFmtId="43" fontId="18" fillId="0" borderId="5" xfId="1" applyFont="1" applyFill="1" applyBorder="1" applyAlignment="1"/>
    <xf numFmtId="43" fontId="19" fillId="0" borderId="23" xfId="1" applyFont="1" applyFill="1" applyBorder="1" applyAlignment="1"/>
    <xf numFmtId="178" fontId="19" fillId="0" borderId="0" xfId="0" applyNumberFormat="1" applyFont="1" applyAlignment="1"/>
    <xf numFmtId="0" fontId="27" fillId="0" borderId="26" xfId="0" applyFont="1" applyBorder="1" applyAlignment="1"/>
    <xf numFmtId="0" fontId="26" fillId="0" borderId="27" xfId="0" applyFont="1" applyBorder="1" applyAlignment="1"/>
    <xf numFmtId="0" fontId="19" fillId="0" borderId="28" xfId="0" applyFont="1" applyBorder="1" applyAlignment="1">
      <alignment horizontal="center"/>
    </xf>
    <xf numFmtId="0" fontId="27" fillId="0" borderId="29" xfId="0" applyFont="1" applyBorder="1" applyAlignment="1"/>
    <xf numFmtId="0" fontId="19" fillId="0" borderId="29" xfId="0" applyFont="1" applyBorder="1" applyAlignment="1">
      <alignment horizontal="center"/>
    </xf>
    <xf numFmtId="43" fontId="19" fillId="0" borderId="29" xfId="1" applyFont="1" applyFill="1" applyBorder="1" applyAlignment="1"/>
    <xf numFmtId="0" fontId="27" fillId="0" borderId="0" xfId="0" applyFont="1" applyAlignment="1"/>
    <xf numFmtId="0" fontId="19" fillId="0" borderId="0" xfId="0" applyFont="1" applyAlignment="1">
      <alignment horizontal="center"/>
    </xf>
    <xf numFmtId="43" fontId="19" fillId="0" borderId="0" xfId="1" applyFont="1" applyFill="1" applyBorder="1" applyAlignment="1"/>
    <xf numFmtId="43" fontId="17" fillId="0" borderId="0" xfId="1" applyFont="1" applyFill="1" applyBorder="1" applyAlignment="1"/>
    <xf numFmtId="179" fontId="19" fillId="0" borderId="0" xfId="0" applyNumberFormat="1" applyFont="1" applyAlignment="1"/>
    <xf numFmtId="43" fontId="19" fillId="0" borderId="0" xfId="0" applyNumberFormat="1" applyFont="1" applyAlignment="1"/>
    <xf numFmtId="43" fontId="19" fillId="0" borderId="0" xfId="1" applyFont="1" applyAlignment="1"/>
    <xf numFmtId="0" fontId="26" fillId="0" borderId="0" xfId="0" applyFont="1" applyAlignment="1"/>
    <xf numFmtId="179" fontId="18" fillId="0" borderId="0" xfId="0" applyNumberFormat="1" applyFont="1" applyAlignment="1"/>
    <xf numFmtId="43" fontId="18" fillId="0" borderId="0" xfId="0" applyNumberFormat="1" applyFont="1" applyAlignment="1"/>
    <xf numFmtId="43" fontId="18" fillId="0" borderId="0" xfId="1" applyFont="1" applyAlignment="1"/>
    <xf numFmtId="178" fontId="22" fillId="0" borderId="18" xfId="0" applyNumberFormat="1" applyFont="1" applyBorder="1" applyAlignment="1">
      <alignment horizontal="center"/>
    </xf>
    <xf numFmtId="0" fontId="28" fillId="0" borderId="0" xfId="0" applyFont="1">
      <alignment vertical="center"/>
    </xf>
    <xf numFmtId="178" fontId="22" fillId="0" borderId="0" xfId="0" applyNumberFormat="1" applyFont="1" applyAlignment="1">
      <alignment horizontal="center"/>
    </xf>
    <xf numFmtId="0" fontId="19" fillId="0" borderId="16" xfId="0" applyFont="1" applyBorder="1" applyAlignment="1">
      <alignment horizontal="center"/>
    </xf>
    <xf numFmtId="179" fontId="19" fillId="0" borderId="16" xfId="0" applyNumberFormat="1" applyFont="1" applyBorder="1" applyAlignment="1"/>
    <xf numFmtId="43" fontId="18" fillId="0" borderId="16" xfId="0" applyNumberFormat="1" applyFont="1" applyBorder="1" applyAlignment="1">
      <alignment vertical="top"/>
    </xf>
    <xf numFmtId="0" fontId="27" fillId="0" borderId="16" xfId="0" applyFont="1" applyBorder="1" applyAlignment="1"/>
    <xf numFmtId="43" fontId="19" fillId="0" borderId="16" xfId="1" applyFont="1" applyBorder="1" applyAlignment="1"/>
    <xf numFmtId="178" fontId="24" fillId="8" borderId="19" xfId="0" applyNumberFormat="1" applyFont="1" applyFill="1" applyBorder="1" applyAlignment="1">
      <alignment horizontal="center"/>
    </xf>
    <xf numFmtId="178" fontId="25" fillId="8" borderId="30" xfId="0" applyNumberFormat="1" applyFont="1" applyFill="1" applyBorder="1" applyAlignment="1">
      <alignment horizontal="center"/>
    </xf>
    <xf numFmtId="179" fontId="24" fillId="8" borderId="30" xfId="0" applyNumberFormat="1" applyFont="1" applyFill="1" applyBorder="1" applyAlignment="1">
      <alignment horizontal="center"/>
    </xf>
    <xf numFmtId="43" fontId="24" fillId="8" borderId="30" xfId="0" applyNumberFormat="1" applyFont="1" applyFill="1" applyBorder="1" applyAlignment="1">
      <alignment horizontal="center"/>
    </xf>
    <xf numFmtId="178" fontId="24" fillId="2" borderId="19" xfId="0" applyNumberFormat="1" applyFont="1" applyFill="1" applyBorder="1" applyAlignment="1">
      <alignment horizontal="center"/>
    </xf>
    <xf numFmtId="178" fontId="25" fillId="2" borderId="30" xfId="0" applyNumberFormat="1" applyFont="1" applyFill="1" applyBorder="1" applyAlignment="1">
      <alignment horizontal="center"/>
    </xf>
    <xf numFmtId="43" fontId="24" fillId="2" borderId="30" xfId="1" applyFont="1" applyFill="1" applyBorder="1" applyAlignment="1">
      <alignment horizontal="center"/>
    </xf>
    <xf numFmtId="43" fontId="24" fillId="2" borderId="13" xfId="1" applyFont="1" applyFill="1" applyBorder="1" applyAlignment="1">
      <alignment horizontal="center"/>
    </xf>
    <xf numFmtId="0" fontId="27" fillId="8" borderId="22" xfId="0" applyFont="1" applyFill="1" applyBorder="1" applyAlignment="1"/>
    <xf numFmtId="0" fontId="19" fillId="8" borderId="23" xfId="0" applyFont="1" applyFill="1" applyBorder="1" applyAlignment="1">
      <alignment horizontal="center"/>
    </xf>
    <xf numFmtId="43" fontId="18" fillId="8" borderId="22" xfId="1" applyFont="1" applyFill="1" applyBorder="1" applyAlignment="1"/>
    <xf numFmtId="0" fontId="27" fillId="2" borderId="22" xfId="0" applyFont="1" applyFill="1" applyBorder="1" applyAlignment="1"/>
    <xf numFmtId="0" fontId="19" fillId="2" borderId="23" xfId="0" applyFont="1" applyFill="1" applyBorder="1" applyAlignment="1">
      <alignment horizontal="center"/>
    </xf>
    <xf numFmtId="43" fontId="18" fillId="2" borderId="23" xfId="1" applyFont="1" applyFill="1" applyBorder="1" applyAlignment="1"/>
    <xf numFmtId="43" fontId="18" fillId="2" borderId="31" xfId="1" applyFont="1" applyFill="1" applyBorder="1" applyAlignment="1"/>
    <xf numFmtId="0" fontId="27" fillId="8" borderId="24" xfId="0" applyFont="1" applyFill="1" applyBorder="1" applyAlignment="1"/>
    <xf numFmtId="0" fontId="19" fillId="8" borderId="5" xfId="0" applyFont="1" applyFill="1" applyBorder="1" applyAlignment="1">
      <alignment horizontal="center"/>
    </xf>
    <xf numFmtId="43" fontId="19" fillId="8" borderId="5" xfId="1" applyFont="1" applyFill="1" applyBorder="1" applyAlignment="1"/>
    <xf numFmtId="0" fontId="19" fillId="2" borderId="5" xfId="0" applyFont="1" applyFill="1" applyBorder="1" applyAlignment="1">
      <alignment horizontal="center"/>
    </xf>
    <xf numFmtId="43" fontId="19" fillId="2" borderId="5" xfId="1" applyFont="1" applyFill="1" applyBorder="1" applyAlignment="1"/>
    <xf numFmtId="43" fontId="19" fillId="2" borderId="6" xfId="1" applyFont="1" applyFill="1" applyBorder="1" applyAlignment="1"/>
    <xf numFmtId="43" fontId="19" fillId="8" borderId="5" xfId="0" applyNumberFormat="1" applyFont="1" applyFill="1" applyBorder="1" applyAlignment="1"/>
    <xf numFmtId="0" fontId="19" fillId="8" borderId="24" xfId="0" applyFont="1" applyFill="1" applyBorder="1" applyAlignment="1"/>
    <xf numFmtId="0" fontId="19" fillId="2" borderId="22" xfId="0" applyFont="1" applyFill="1" applyBorder="1" applyAlignment="1"/>
    <xf numFmtId="0" fontId="29" fillId="8" borderId="24" xfId="0" applyFont="1" applyFill="1" applyBorder="1" applyAlignment="1"/>
    <xf numFmtId="43" fontId="19" fillId="8" borderId="24" xfId="1" applyFont="1" applyFill="1" applyBorder="1" applyAlignment="1"/>
    <xf numFmtId="0" fontId="27" fillId="8" borderId="25" xfId="0" applyFont="1" applyFill="1" applyBorder="1" applyAlignment="1"/>
    <xf numFmtId="0" fontId="19" fillId="8" borderId="11" xfId="0" applyFont="1" applyFill="1" applyBorder="1" applyAlignment="1">
      <alignment horizontal="center"/>
    </xf>
    <xf numFmtId="43" fontId="19" fillId="8" borderId="25" xfId="1" applyFont="1" applyFill="1" applyBorder="1" applyAlignment="1"/>
    <xf numFmtId="0" fontId="27" fillId="2" borderId="25" xfId="0" applyFont="1" applyFill="1" applyBorder="1" applyAlignment="1"/>
    <xf numFmtId="0" fontId="19" fillId="2" borderId="11" xfId="0" applyFont="1" applyFill="1" applyBorder="1" applyAlignment="1">
      <alignment horizontal="center"/>
    </xf>
    <xf numFmtId="43" fontId="19" fillId="2" borderId="11" xfId="1" applyFont="1" applyFill="1" applyBorder="1" applyAlignment="1"/>
    <xf numFmtId="43" fontId="19" fillId="2" borderId="32" xfId="1" applyFont="1" applyFill="1" applyBorder="1" applyAlignment="1"/>
    <xf numFmtId="0" fontId="26" fillId="8" borderId="26" xfId="0" applyFont="1" applyFill="1" applyBorder="1" applyAlignment="1"/>
    <xf numFmtId="0" fontId="19" fillId="8" borderId="33" xfId="0" applyFont="1" applyFill="1" applyBorder="1" applyAlignment="1">
      <alignment horizontal="center"/>
    </xf>
    <xf numFmtId="43" fontId="18" fillId="8" borderId="26" xfId="1" applyFont="1" applyFill="1" applyBorder="1" applyAlignment="1"/>
    <xf numFmtId="0" fontId="26" fillId="2" borderId="34" xfId="0" applyFont="1" applyFill="1" applyBorder="1" applyAlignment="1"/>
    <xf numFmtId="0" fontId="19" fillId="2" borderId="33" xfId="0" applyFont="1" applyFill="1" applyBorder="1" applyAlignment="1">
      <alignment horizontal="center"/>
    </xf>
    <xf numFmtId="43" fontId="18" fillId="2" borderId="33" xfId="1" applyFont="1" applyFill="1" applyBorder="1" applyAlignment="1"/>
    <xf numFmtId="43" fontId="18" fillId="2" borderId="35" xfId="1" applyFont="1" applyFill="1" applyBorder="1" applyAlignment="1"/>
    <xf numFmtId="178" fontId="18" fillId="8" borderId="22" xfId="1" applyNumberFormat="1" applyFont="1" applyFill="1" applyBorder="1" applyAlignment="1"/>
    <xf numFmtId="0" fontId="27" fillId="2" borderId="24" xfId="0" applyFont="1" applyFill="1" applyBorder="1" applyAlignment="1"/>
    <xf numFmtId="178" fontId="19" fillId="8" borderId="24" xfId="1" applyNumberFormat="1" applyFont="1" applyFill="1" applyBorder="1" applyAlignment="1"/>
    <xf numFmtId="0" fontId="19" fillId="2" borderId="24" xfId="0" applyFont="1" applyFill="1" applyBorder="1" applyAlignment="1"/>
    <xf numFmtId="178" fontId="19" fillId="8" borderId="25" xfId="1" applyNumberFormat="1" applyFont="1" applyFill="1" applyBorder="1" applyAlignment="1"/>
    <xf numFmtId="43" fontId="19" fillId="2" borderId="12" xfId="1" applyFont="1" applyFill="1" applyBorder="1" applyAlignment="1"/>
    <xf numFmtId="0" fontId="26" fillId="8" borderId="36" xfId="0" applyFont="1" applyFill="1" applyBorder="1" applyAlignment="1"/>
    <xf numFmtId="0" fontId="19" fillId="8" borderId="37" xfId="0" applyFont="1" applyFill="1" applyBorder="1" applyAlignment="1">
      <alignment horizontal="center"/>
    </xf>
    <xf numFmtId="43" fontId="18" fillId="8" borderId="36" xfId="1" applyFont="1" applyFill="1" applyBorder="1" applyAlignment="1"/>
    <xf numFmtId="0" fontId="26" fillId="2" borderId="36" xfId="0" applyFont="1" applyFill="1" applyBorder="1" applyAlignment="1"/>
    <xf numFmtId="0" fontId="19" fillId="2" borderId="37" xfId="0" applyFont="1" applyFill="1" applyBorder="1" applyAlignment="1">
      <alignment horizontal="center"/>
    </xf>
    <xf numFmtId="43" fontId="18" fillId="2" borderId="37" xfId="1" applyFont="1" applyFill="1" applyBorder="1" applyAlignment="1"/>
    <xf numFmtId="43" fontId="18" fillId="2" borderId="38" xfId="1" applyFont="1" applyFill="1" applyBorder="1" applyAlignment="1"/>
    <xf numFmtId="0" fontId="26" fillId="8" borderId="22" xfId="0" applyFont="1" applyFill="1" applyBorder="1" applyAlignment="1"/>
    <xf numFmtId="0" fontId="26" fillId="2" borderId="22" xfId="0" applyFont="1" applyFill="1" applyBorder="1" applyAlignment="1"/>
    <xf numFmtId="0" fontId="18" fillId="8" borderId="37" xfId="0" applyFont="1" applyFill="1" applyBorder="1" applyAlignment="1">
      <alignment horizontal="center"/>
    </xf>
    <xf numFmtId="178" fontId="18" fillId="8" borderId="36" xfId="1" applyNumberFormat="1" applyFont="1" applyFill="1" applyBorder="1" applyAlignment="1"/>
    <xf numFmtId="0" fontId="26" fillId="2" borderId="26" xfId="0" applyFont="1" applyFill="1" applyBorder="1" applyAlignment="1"/>
    <xf numFmtId="0" fontId="18" fillId="2" borderId="37" xfId="0" applyFont="1" applyFill="1" applyBorder="1" applyAlignment="1">
      <alignment horizontal="center"/>
    </xf>
    <xf numFmtId="0" fontId="26" fillId="4" borderId="22" xfId="0" applyFont="1" applyFill="1" applyBorder="1" applyAlignment="1"/>
    <xf numFmtId="0" fontId="19" fillId="4" borderId="5" xfId="0" applyFont="1" applyFill="1" applyBorder="1" applyAlignment="1">
      <alignment horizontal="center"/>
    </xf>
    <xf numFmtId="43" fontId="19" fillId="4" borderId="5" xfId="1" applyFont="1" applyFill="1" applyBorder="1" applyAlignment="1"/>
    <xf numFmtId="43" fontId="19" fillId="4" borderId="6" xfId="1" applyFont="1" applyFill="1" applyBorder="1" applyAlignment="1"/>
    <xf numFmtId="0" fontId="27" fillId="4" borderId="22" xfId="0" applyFont="1" applyFill="1" applyBorder="1" applyAlignment="1"/>
    <xf numFmtId="0" fontId="26" fillId="8" borderId="24" xfId="0" applyFont="1" applyFill="1" applyBorder="1" applyAlignment="1"/>
    <xf numFmtId="178" fontId="19" fillId="8" borderId="22" xfId="1" applyNumberFormat="1" applyFont="1" applyFill="1" applyBorder="1" applyAlignment="1"/>
    <xf numFmtId="43" fontId="19" fillId="8" borderId="22" xfId="1" applyFont="1" applyFill="1" applyBorder="1" applyAlignment="1"/>
    <xf numFmtId="0" fontId="19" fillId="4" borderId="22" xfId="0" applyFont="1" applyFill="1" applyBorder="1" applyAlignment="1"/>
    <xf numFmtId="43" fontId="19" fillId="9" borderId="6" xfId="1" applyFont="1" applyFill="1" applyBorder="1" applyAlignment="1"/>
    <xf numFmtId="0" fontId="27" fillId="4" borderId="25" xfId="0" applyFont="1" applyFill="1" applyBorder="1" applyAlignment="1"/>
    <xf numFmtId="0" fontId="19" fillId="4" borderId="11" xfId="0" applyFont="1" applyFill="1" applyBorder="1" applyAlignment="1">
      <alignment horizontal="center"/>
    </xf>
    <xf numFmtId="43" fontId="19" fillId="4" borderId="11" xfId="1" applyFont="1" applyFill="1" applyBorder="1" applyAlignment="1"/>
    <xf numFmtId="43" fontId="19" fillId="4" borderId="12" xfId="1" applyFont="1" applyFill="1" applyBorder="1" applyAlignment="1"/>
    <xf numFmtId="0" fontId="26" fillId="4" borderId="26" xfId="0" applyFont="1" applyFill="1" applyBorder="1" applyAlignment="1"/>
    <xf numFmtId="0" fontId="19" fillId="4" borderId="33" xfId="0" applyFont="1" applyFill="1" applyBorder="1" applyAlignment="1">
      <alignment horizontal="center"/>
    </xf>
    <xf numFmtId="43" fontId="18" fillId="4" borderId="33" xfId="1" applyFont="1" applyFill="1" applyBorder="1" applyAlignment="1"/>
    <xf numFmtId="43" fontId="18" fillId="4" borderId="35" xfId="1" applyFont="1" applyFill="1" applyBorder="1" applyAlignment="1"/>
    <xf numFmtId="0" fontId="26" fillId="8" borderId="39" xfId="0" applyFont="1" applyFill="1" applyBorder="1" applyAlignment="1"/>
    <xf numFmtId="0" fontId="19" fillId="8" borderId="40" xfId="0" applyFont="1" applyFill="1" applyBorder="1" applyAlignment="1">
      <alignment horizontal="center"/>
    </xf>
    <xf numFmtId="178" fontId="18" fillId="8" borderId="39" xfId="1" applyNumberFormat="1" applyFont="1" applyFill="1" applyBorder="1" applyAlignment="1"/>
    <xf numFmtId="0" fontId="26" fillId="4" borderId="39" xfId="0" applyFont="1" applyFill="1" applyBorder="1" applyAlignment="1"/>
    <xf numFmtId="0" fontId="19" fillId="4" borderId="40" xfId="0" applyFont="1" applyFill="1" applyBorder="1" applyAlignment="1">
      <alignment horizontal="center"/>
    </xf>
    <xf numFmtId="43" fontId="18" fillId="4" borderId="40" xfId="1" applyFont="1" applyFill="1" applyBorder="1" applyAlignment="1"/>
    <xf numFmtId="43" fontId="18" fillId="4" borderId="41" xfId="1" applyFont="1" applyFill="1" applyBorder="1" applyAlignment="1"/>
    <xf numFmtId="0" fontId="30" fillId="0" borderId="42" xfId="55" applyBorder="1" applyAlignment="1"/>
    <xf numFmtId="43" fontId="31" fillId="0" borderId="2" xfId="68" applyFont="1" applyBorder="1" applyAlignment="1">
      <alignment horizontal="center"/>
    </xf>
    <xf numFmtId="43" fontId="32" fillId="0" borderId="3" xfId="68" applyFont="1" applyBorder="1" applyAlignment="1">
      <alignment horizontal="center"/>
    </xf>
    <xf numFmtId="0" fontId="33" fillId="0" borderId="0" xfId="50">
      <alignment vertical="center"/>
    </xf>
    <xf numFmtId="43" fontId="32" fillId="0" borderId="14" xfId="68" applyFont="1" applyBorder="1" applyAlignment="1">
      <alignment horizontal="center"/>
    </xf>
    <xf numFmtId="43" fontId="32" fillId="0" borderId="0" xfId="68" applyFont="1" applyBorder="1" applyAlignment="1">
      <alignment horizontal="center"/>
    </xf>
    <xf numFmtId="0" fontId="30" fillId="0" borderId="43" xfId="55" applyBorder="1" applyAlignment="1"/>
    <xf numFmtId="43" fontId="31" fillId="0" borderId="5" xfId="68" applyFont="1" applyBorder="1" applyAlignment="1">
      <alignment horizontal="center"/>
    </xf>
    <xf numFmtId="43" fontId="31" fillId="0" borderId="6" xfId="68" applyFont="1" applyBorder="1" applyAlignment="1">
      <alignment horizontal="center"/>
    </xf>
    <xf numFmtId="43" fontId="31" fillId="0" borderId="0" xfId="68" applyFont="1" applyBorder="1" applyAlignment="1">
      <alignment horizontal="center"/>
    </xf>
    <xf numFmtId="43" fontId="0" fillId="0" borderId="5" xfId="68" applyFont="1" applyBorder="1" applyAlignment="1">
      <alignment horizontal="center"/>
    </xf>
    <xf numFmtId="43" fontId="0" fillId="0" borderId="6" xfId="68" applyFont="1" applyBorder="1" applyAlignment="1">
      <alignment horizontal="center"/>
    </xf>
    <xf numFmtId="41" fontId="23" fillId="0" borderId="43" xfId="69" applyFont="1" applyBorder="1" applyAlignment="1">
      <alignment horizontal="right"/>
    </xf>
    <xf numFmtId="43" fontId="0" fillId="0" borderId="0" xfId="68" applyFont="1" applyBorder="1" applyAlignment="1">
      <alignment horizontal="center"/>
    </xf>
    <xf numFmtId="43" fontId="0" fillId="0" borderId="5" xfId="0" applyNumberFormat="1" applyBorder="1" applyAlignment="1"/>
    <xf numFmtId="180" fontId="0" fillId="0" borderId="5" xfId="69" applyNumberFormat="1" applyFont="1" applyBorder="1" applyAlignment="1">
      <alignment horizontal="center"/>
    </xf>
    <xf numFmtId="43" fontId="34" fillId="0" borderId="5" xfId="68" applyFont="1" applyBorder="1" applyAlignment="1">
      <alignment horizontal="center"/>
    </xf>
    <xf numFmtId="43" fontId="34" fillId="0" borderId="6" xfId="68" applyFont="1" applyBorder="1" applyAlignment="1">
      <alignment horizontal="center"/>
    </xf>
    <xf numFmtId="43" fontId="34" fillId="0" borderId="0" xfId="68" applyFont="1" applyBorder="1" applyAlignment="1">
      <alignment horizontal="center"/>
    </xf>
    <xf numFmtId="41" fontId="23" fillId="0" borderId="44" xfId="69" applyFont="1" applyBorder="1" applyAlignment="1">
      <alignment horizontal="right"/>
    </xf>
    <xf numFmtId="43" fontId="34" fillId="0" borderId="11" xfId="68" applyFont="1" applyBorder="1" applyAlignment="1">
      <alignment horizontal="center"/>
    </xf>
    <xf numFmtId="43" fontId="0" fillId="0" borderId="12" xfId="68" applyFont="1" applyBorder="1" applyAlignment="1">
      <alignment horizontal="center"/>
    </xf>
    <xf numFmtId="0" fontId="33" fillId="0" borderId="45" xfId="50" applyBorder="1">
      <alignment vertical="center"/>
    </xf>
    <xf numFmtId="43" fontId="0" fillId="0" borderId="16" xfId="68" applyFont="1" applyBorder="1" applyAlignment="1">
      <alignment horizontal="center"/>
    </xf>
    <xf numFmtId="0" fontId="30" fillId="0" borderId="42" xfId="54" applyBorder="1" applyAlignment="1"/>
    <xf numFmtId="43" fontId="31" fillId="0" borderId="2" xfId="67" applyFont="1" applyBorder="1" applyAlignment="1">
      <alignment horizontal="center"/>
    </xf>
    <xf numFmtId="43" fontId="32" fillId="0" borderId="3" xfId="67" applyFont="1" applyBorder="1" applyAlignment="1">
      <alignment horizontal="center"/>
    </xf>
    <xf numFmtId="0" fontId="33" fillId="0" borderId="0" xfId="65">
      <alignment vertical="center"/>
    </xf>
    <xf numFmtId="0" fontId="30" fillId="0" borderId="43" xfId="54" applyBorder="1" applyAlignment="1"/>
    <xf numFmtId="43" fontId="31" fillId="0" borderId="5" xfId="67" applyFont="1" applyBorder="1" applyAlignment="1">
      <alignment horizontal="center"/>
    </xf>
    <xf numFmtId="43" fontId="31" fillId="0" borderId="6" xfId="67" applyFont="1" applyBorder="1" applyAlignment="1">
      <alignment horizontal="center"/>
    </xf>
    <xf numFmtId="43" fontId="0" fillId="0" borderId="5" xfId="67" applyFont="1" applyBorder="1" applyAlignment="1">
      <alignment horizontal="center"/>
    </xf>
    <xf numFmtId="43" fontId="0" fillId="0" borderId="6" xfId="67" applyFont="1" applyBorder="1" applyAlignment="1">
      <alignment horizontal="center"/>
    </xf>
    <xf numFmtId="43" fontId="34" fillId="0" borderId="5" xfId="67" applyFont="1" applyBorder="1" applyAlignment="1">
      <alignment horizontal="center"/>
    </xf>
    <xf numFmtId="43" fontId="34" fillId="0" borderId="11" xfId="67" applyFont="1" applyBorder="1" applyAlignment="1">
      <alignment horizontal="center"/>
    </xf>
    <xf numFmtId="43" fontId="0" fillId="0" borderId="12" xfId="67" applyFont="1" applyBorder="1" applyAlignment="1">
      <alignment horizontal="center"/>
    </xf>
    <xf numFmtId="0" fontId="30" fillId="0" borderId="0" xfId="53" applyAlignment="1"/>
    <xf numFmtId="41" fontId="31" fillId="0" borderId="5" xfId="69" applyFont="1" applyBorder="1" applyAlignment="1">
      <alignment horizontal="center"/>
    </xf>
    <xf numFmtId="41" fontId="32" fillId="0" borderId="5" xfId="69" applyFont="1" applyBorder="1" applyAlignment="1">
      <alignment horizontal="center"/>
    </xf>
    <xf numFmtId="0" fontId="33" fillId="0" borderId="0" xfId="51">
      <alignment vertical="center"/>
    </xf>
    <xf numFmtId="41" fontId="32" fillId="0" borderId="0" xfId="69" applyFont="1" applyBorder="1" applyAlignment="1">
      <alignment horizontal="center"/>
    </xf>
    <xf numFmtId="41" fontId="31" fillId="0" borderId="24" xfId="69" applyFont="1" applyBorder="1" applyAlignment="1">
      <alignment horizontal="center"/>
    </xf>
    <xf numFmtId="41" fontId="31" fillId="0" borderId="46" xfId="69" applyFont="1" applyBorder="1" applyAlignment="1">
      <alignment horizontal="center"/>
    </xf>
    <xf numFmtId="41" fontId="31" fillId="0" borderId="0" xfId="69" applyFont="1" applyBorder="1" applyAlignment="1">
      <alignment horizontal="center"/>
    </xf>
    <xf numFmtId="41" fontId="23" fillId="0" borderId="0" xfId="69" applyFont="1" applyAlignment="1">
      <alignment horizontal="right"/>
    </xf>
    <xf numFmtId="180" fontId="0" fillId="0" borderId="0" xfId="69" applyNumberFormat="1" applyFont="1" applyBorder="1" applyAlignment="1">
      <alignment horizontal="center"/>
    </xf>
    <xf numFmtId="0" fontId="30" fillId="0" borderId="0" xfId="53" applyAlignment="1">
      <alignment horizontal="right"/>
    </xf>
    <xf numFmtId="0" fontId="5" fillId="0" borderId="0" xfId="53" applyFont="1" applyAlignment="1"/>
    <xf numFmtId="0" fontId="5" fillId="0" borderId="0" xfId="53" applyFont="1" applyAlignment="1">
      <alignment horizontal="right"/>
    </xf>
    <xf numFmtId="41" fontId="34" fillId="0" borderId="5" xfId="69" applyFont="1" applyBorder="1" applyAlignment="1">
      <alignment horizontal="center"/>
    </xf>
    <xf numFmtId="41" fontId="34" fillId="0" borderId="0" xfId="69" applyFont="1" applyBorder="1" applyAlignment="1">
      <alignment horizontal="center"/>
    </xf>
    <xf numFmtId="180" fontId="34" fillId="0" borderId="5" xfId="69" applyNumberFormat="1" applyFont="1" applyBorder="1" applyAlignment="1">
      <alignment horizontal="center"/>
    </xf>
    <xf numFmtId="180" fontId="34" fillId="0" borderId="0" xfId="69" applyNumberFormat="1" applyFont="1" applyBorder="1" applyAlignment="1">
      <alignment horizontal="center"/>
    </xf>
    <xf numFmtId="0" fontId="34" fillId="0" borderId="5" xfId="69" applyNumberFormat="1" applyFont="1" applyBorder="1" applyAlignment="1">
      <alignment horizontal="center"/>
    </xf>
    <xf numFmtId="180" fontId="0" fillId="0" borderId="0" xfId="0" applyNumberFormat="1" applyAlignment="1"/>
    <xf numFmtId="0" fontId="35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31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43" fontId="36" fillId="0" borderId="0" xfId="1" applyFont="1" applyAlignment="1">
      <alignment horizontal="center" vertical="center"/>
    </xf>
    <xf numFmtId="43" fontId="36" fillId="0" borderId="0" xfId="1" applyFont="1" applyFill="1" applyAlignment="1">
      <alignment horizontal="center" vertical="center"/>
    </xf>
    <xf numFmtId="43" fontId="31" fillId="0" borderId="0" xfId="1" applyFont="1" applyFill="1" applyAlignment="1">
      <alignment horizontal="center" vertical="center"/>
    </xf>
    <xf numFmtId="0" fontId="5" fillId="5" borderId="0" xfId="0" applyFont="1" applyFill="1">
      <alignment vertical="center"/>
    </xf>
    <xf numFmtId="43" fontId="0" fillId="0" borderId="0" xfId="1" applyFont="1" applyFill="1" applyAlignment="1">
      <alignment vertical="center"/>
    </xf>
    <xf numFmtId="0" fontId="37" fillId="0" borderId="0" xfId="0" applyFont="1">
      <alignment vertical="center"/>
    </xf>
    <xf numFmtId="43" fontId="5" fillId="0" borderId="0" xfId="1" applyFont="1" applyAlignment="1">
      <alignment vertical="center"/>
    </xf>
    <xf numFmtId="43" fontId="0" fillId="0" borderId="0" xfId="0" applyNumberFormat="1" applyAlignment="1">
      <alignment horizontal="center" vertical="center"/>
    </xf>
    <xf numFmtId="43" fontId="38" fillId="0" borderId="0" xfId="1" applyFont="1" applyAlignment="1">
      <alignment vertical="center"/>
    </xf>
    <xf numFmtId="0" fontId="39" fillId="0" borderId="0" xfId="0" applyFont="1">
      <alignment vertical="center"/>
    </xf>
    <xf numFmtId="0" fontId="40" fillId="5" borderId="0" xfId="0" applyFont="1" applyFill="1">
      <alignment vertical="center"/>
    </xf>
    <xf numFmtId="0" fontId="5" fillId="12" borderId="0" xfId="0" applyFont="1" applyFill="1" applyAlignment="1"/>
    <xf numFmtId="43" fontId="0" fillId="12" borderId="0" xfId="0" applyNumberFormat="1" applyFill="1" applyAlignment="1"/>
    <xf numFmtId="0" fontId="0" fillId="12" borderId="0" xfId="0" applyFill="1" applyAlignment="1"/>
    <xf numFmtId="0" fontId="0" fillId="13" borderId="0" xfId="0" applyFill="1" applyAlignment="1"/>
    <xf numFmtId="0" fontId="0" fillId="14" borderId="0" xfId="0" applyFill="1" applyAlignment="1"/>
    <xf numFmtId="0" fontId="0" fillId="15" borderId="0" xfId="0" applyFill="1" applyAlignment="1"/>
    <xf numFmtId="43" fontId="0" fillId="0" borderId="0" xfId="0" applyNumberFormat="1" applyAlignment="1"/>
    <xf numFmtId="0" fontId="41" fillId="0" borderId="15" xfId="0" applyFont="1" applyBorder="1" applyAlignment="1"/>
    <xf numFmtId="0" fontId="3" fillId="0" borderId="15" xfId="0" applyFont="1" applyBorder="1" applyAlignment="1"/>
    <xf numFmtId="0" fontId="42" fillId="0" borderId="15" xfId="0" applyFont="1" applyBorder="1" applyAlignment="1">
      <alignment horizontal="center"/>
    </xf>
    <xf numFmtId="43" fontId="12" fillId="0" borderId="15" xfId="0" applyNumberFormat="1" applyFont="1" applyBorder="1" applyAlignment="1">
      <alignment horizontal="center"/>
    </xf>
    <xf numFmtId="0" fontId="33" fillId="0" borderId="15" xfId="57" applyBorder="1">
      <alignment vertical="center"/>
    </xf>
    <xf numFmtId="14" fontId="14" fillId="0" borderId="15" xfId="0" applyNumberFormat="1" applyFont="1" applyBorder="1" applyAlignment="1"/>
    <xf numFmtId="0" fontId="14" fillId="0" borderId="15" xfId="0" applyFont="1" applyBorder="1" applyAlignment="1">
      <alignment horizontal="center"/>
    </xf>
    <xf numFmtId="43" fontId="14" fillId="0" borderId="15" xfId="1" applyFont="1" applyBorder="1" applyAlignment="1">
      <alignment horizontal="right"/>
    </xf>
    <xf numFmtId="0" fontId="14" fillId="0" borderId="15" xfId="0" applyFont="1" applyBorder="1">
      <alignment vertical="center"/>
    </xf>
    <xf numFmtId="0" fontId="33" fillId="0" borderId="15" xfId="59" applyBorder="1">
      <alignment vertical="center"/>
    </xf>
    <xf numFmtId="0" fontId="14" fillId="0" borderId="47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5f_x000d__x005f_x000a_NA_x005f_x000d__x005f_x000a_" xfId="49"/>
    <cellStyle name="常规 10" xfId="50"/>
    <cellStyle name="常规 2" xfId="51"/>
    <cellStyle name="常规 2 2" xfId="52"/>
    <cellStyle name="常规 2 3" xfId="53"/>
    <cellStyle name="常规 2 4" xfId="54"/>
    <cellStyle name="常规 2 5" xfId="55"/>
    <cellStyle name="常规 2 6" xfId="56"/>
    <cellStyle name="常规 3" xfId="57"/>
    <cellStyle name="常规 3 2" xfId="58"/>
    <cellStyle name="常规 4" xfId="59"/>
    <cellStyle name="常规 4 2" xfId="60"/>
    <cellStyle name="常规 5" xfId="61"/>
    <cellStyle name="常规 6" xfId="62"/>
    <cellStyle name="常规 7" xfId="63"/>
    <cellStyle name="常规 8" xfId="64"/>
    <cellStyle name="常规 9" xfId="65"/>
    <cellStyle name="千位分隔 2" xfId="66"/>
    <cellStyle name="千位分隔 3" xfId="67"/>
    <cellStyle name="千位分隔 4" xfId="68"/>
    <cellStyle name="千位分隔[0] 2" xfId="6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571500</xdr:colOff>
      <xdr:row>0</xdr:row>
      <xdr:rowOff>260350</xdr:rowOff>
    </xdr:to>
    <xdr:sp macro="[0]!_xleta.Copy">
      <xdr:nvSpPr>
        <xdr:cNvPr id="2" name="矩形 1"/>
        <xdr:cNvSpPr/>
      </xdr:nvSpPr>
      <xdr:spPr>
        <a:xfrm>
          <a:off x="10467975" y="0"/>
          <a:ext cx="571500" cy="260350"/>
        </a:xfrm>
        <a:prstGeom prst="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计算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workbookViewId="0">
      <selection activeCell="E9" sqref="E9"/>
    </sheetView>
  </sheetViews>
  <sheetFormatPr defaultColWidth="9.14285714285714" defaultRowHeight="12.75"/>
  <cols>
    <col min="1" max="1" width="12.2857142857143" style="69" customWidth="1"/>
    <col min="2" max="2" width="20" style="69" customWidth="1"/>
    <col min="3" max="3" width="11" style="69" customWidth="1"/>
    <col min="4" max="4" width="18.5714285714286" style="86" customWidth="1"/>
    <col min="5" max="5" width="20" style="86" customWidth="1"/>
    <col min="6" max="6" width="20" style="69" customWidth="1"/>
    <col min="7" max="7" width="33.5714285714286" style="69" customWidth="1"/>
    <col min="8" max="8" width="26.5714285714286" style="69" customWidth="1"/>
    <col min="9" max="9" width="72" style="69" customWidth="1"/>
    <col min="10" max="10" width="35.1428571428571" style="69" hidden="1" customWidth="1"/>
    <col min="11" max="11" width="33.4285714285714" style="69" hidden="1" customWidth="1"/>
    <col min="12" max="12" width="22.2857142857143" style="69" hidden="1" customWidth="1"/>
    <col min="13" max="13" width="25.4285714285714" style="69" hidden="1" customWidth="1"/>
    <col min="14" max="14" width="44.2857142857143" style="69" hidden="1" customWidth="1"/>
    <col min="15" max="15" width="23" style="69" hidden="1" customWidth="1"/>
    <col min="16" max="16" width="38.5714285714286" style="69" hidden="1" customWidth="1"/>
    <col min="17" max="17" width="7.42857142857143" style="69" hidden="1" customWidth="1"/>
    <col min="18" max="16384" width="9.14285714285714" style="69"/>
  </cols>
  <sheetData>
    <row r="1" s="312" customFormat="1" ht="20.25" spans="1:17">
      <c r="A1" s="314" t="s">
        <v>0</v>
      </c>
      <c r="B1" s="314"/>
      <c r="C1" s="314"/>
      <c r="D1" s="314"/>
      <c r="E1" s="314"/>
      <c r="F1" s="314"/>
      <c r="G1" s="314"/>
      <c r="H1" s="314"/>
      <c r="I1" s="314"/>
      <c r="J1" s="314"/>
    </row>
    <row r="2" s="78" customFormat="1" ht="15.75" spans="1:17">
      <c r="A2" s="78" t="s">
        <v>1</v>
      </c>
      <c r="B2" s="78" t="s">
        <v>2</v>
      </c>
      <c r="C2" s="78" t="s">
        <v>3</v>
      </c>
      <c r="D2" s="315" t="s">
        <v>4</v>
      </c>
      <c r="E2" s="315" t="s">
        <v>5</v>
      </c>
      <c r="F2" s="78" t="s">
        <v>6</v>
      </c>
      <c r="G2" s="78" t="s">
        <v>7</v>
      </c>
      <c r="H2" s="78" t="s">
        <v>8</v>
      </c>
      <c r="I2" s="78" t="s">
        <v>9</v>
      </c>
      <c r="M2" s="316" t="s">
        <v>10</v>
      </c>
      <c r="N2" s="316" t="s">
        <v>11</v>
      </c>
    </row>
    <row r="3" s="82" customFormat="1" ht="15.75" customHeight="1" spans="1:17">
      <c r="A3" s="317"/>
      <c r="B3" s="81"/>
      <c r="C3" s="318"/>
      <c r="D3" s="81">
        <v>0</v>
      </c>
      <c r="E3" s="81"/>
      <c r="F3" s="81">
        <f>B3+D3-E3</f>
        <v>0</v>
      </c>
      <c r="M3" s="316"/>
      <c r="N3" s="316" t="s">
        <v>12</v>
      </c>
      <c r="P3" s="70" t="s">
        <v>13</v>
      </c>
      <c r="Q3" s="70" t="s">
        <v>14</v>
      </c>
    </row>
    <row r="4" s="313" customFormat="1" ht="15.75" spans="1:17">
      <c r="A4" s="317">
        <v>46232</v>
      </c>
      <c r="B4" s="81"/>
      <c r="C4" s="318"/>
      <c r="D4" s="319"/>
      <c r="E4" s="319"/>
      <c r="F4" s="81">
        <f>F3+D4-E4</f>
        <v>0</v>
      </c>
      <c r="G4" s="320"/>
      <c r="H4" s="82"/>
      <c r="I4" s="84"/>
      <c r="J4" s="84"/>
      <c r="M4" s="316"/>
      <c r="N4" s="316" t="s">
        <v>15</v>
      </c>
      <c r="P4" s="321"/>
      <c r="Q4" s="70" t="s">
        <v>16</v>
      </c>
    </row>
    <row r="5" s="313" customFormat="1" ht="15.75" spans="1:17">
      <c r="A5" s="317">
        <v>46232</v>
      </c>
      <c r="B5" s="81"/>
      <c r="C5" s="318"/>
      <c r="D5" s="319"/>
      <c r="E5" s="319"/>
      <c r="F5" s="81">
        <f>F4+D5-E5</f>
        <v>0</v>
      </c>
      <c r="G5" s="320"/>
      <c r="H5" s="82"/>
      <c r="I5" s="84"/>
      <c r="J5" s="84"/>
      <c r="M5" s="316"/>
      <c r="N5" s="316" t="s">
        <v>17</v>
      </c>
      <c r="P5" s="321"/>
      <c r="Q5" s="70" t="s">
        <v>18</v>
      </c>
    </row>
    <row r="6" s="313" customFormat="1" ht="15.75" spans="1:17">
      <c r="A6" s="317">
        <v>46232</v>
      </c>
      <c r="B6" s="81"/>
      <c r="C6" s="318"/>
      <c r="D6" s="319"/>
      <c r="E6" s="319"/>
      <c r="F6" s="81">
        <f t="shared" ref="F6:F69" si="0">F5+D6-E6</f>
        <v>0</v>
      </c>
      <c r="G6" s="320"/>
      <c r="H6" s="82"/>
      <c r="I6" s="84"/>
      <c r="J6" s="84"/>
      <c r="M6" s="316"/>
      <c r="N6" s="316" t="s">
        <v>19</v>
      </c>
      <c r="P6" s="321"/>
      <c r="Q6" s="70" t="s">
        <v>20</v>
      </c>
    </row>
    <row r="7" s="313" customFormat="1" ht="15.75" spans="1:17">
      <c r="A7" s="317">
        <v>46232</v>
      </c>
      <c r="B7" s="81"/>
      <c r="C7" s="318"/>
      <c r="D7" s="319"/>
      <c r="E7" s="319"/>
      <c r="F7" s="81">
        <f t="shared" si="0"/>
        <v>0</v>
      </c>
      <c r="G7" s="320"/>
      <c r="H7" s="82"/>
      <c r="I7" s="84"/>
      <c r="J7" s="84"/>
      <c r="M7" s="316"/>
      <c r="N7" s="316" t="s">
        <v>21</v>
      </c>
      <c r="P7" s="321"/>
      <c r="Q7" s="70" t="s">
        <v>22</v>
      </c>
    </row>
    <row r="8" s="313" customFormat="1" ht="15.75" spans="1:17">
      <c r="A8" s="317">
        <v>46232</v>
      </c>
      <c r="B8" s="81"/>
      <c r="C8" s="318"/>
      <c r="D8" s="319"/>
      <c r="E8" s="319"/>
      <c r="F8" s="81">
        <f t="shared" si="0"/>
        <v>0</v>
      </c>
      <c r="G8" s="320"/>
      <c r="H8" s="82"/>
      <c r="I8" s="84"/>
      <c r="J8" s="84"/>
      <c r="M8" s="316"/>
      <c r="N8" s="316" t="s">
        <v>23</v>
      </c>
      <c r="P8" s="321"/>
      <c r="Q8" s="70" t="s">
        <v>24</v>
      </c>
    </row>
    <row r="9" s="313" customFormat="1" ht="15.75" spans="1:17">
      <c r="A9" s="317">
        <v>46232</v>
      </c>
      <c r="B9" s="81"/>
      <c r="C9" s="318"/>
      <c r="D9" s="319"/>
      <c r="E9" s="319"/>
      <c r="F9" s="81">
        <f t="shared" si="0"/>
        <v>0</v>
      </c>
      <c r="G9" s="320"/>
      <c r="H9" s="82"/>
      <c r="I9" s="84"/>
      <c r="J9" s="84"/>
      <c r="M9" s="316"/>
      <c r="N9" s="316" t="s">
        <v>25</v>
      </c>
      <c r="P9" s="321"/>
      <c r="Q9" s="71" t="s">
        <v>26</v>
      </c>
    </row>
    <row r="10" s="313" customFormat="1" ht="15.75" spans="1:17">
      <c r="A10" s="317">
        <v>46232</v>
      </c>
      <c r="B10" s="81"/>
      <c r="C10" s="318"/>
      <c r="D10" s="319"/>
      <c r="E10" s="319"/>
      <c r="F10" s="81">
        <f t="shared" si="0"/>
        <v>0</v>
      </c>
      <c r="G10" s="320"/>
      <c r="H10" s="82"/>
      <c r="I10" s="84"/>
      <c r="J10" s="84"/>
      <c r="M10" s="316"/>
      <c r="N10" s="316" t="s">
        <v>27</v>
      </c>
      <c r="P10" s="321"/>
      <c r="Q10" s="71" t="s">
        <v>28</v>
      </c>
    </row>
    <row r="11" s="313" customFormat="1" ht="15.75" spans="1:17">
      <c r="A11" s="317">
        <v>46232</v>
      </c>
      <c r="B11" s="81"/>
      <c r="C11" s="318"/>
      <c r="D11" s="319"/>
      <c r="E11" s="319"/>
      <c r="F11" s="81">
        <f t="shared" si="0"/>
        <v>0</v>
      </c>
      <c r="G11" s="320"/>
      <c r="H11" s="82"/>
      <c r="I11" s="84"/>
      <c r="J11" s="84"/>
      <c r="M11" s="316"/>
      <c r="N11" s="316" t="s">
        <v>29</v>
      </c>
      <c r="P11" s="321"/>
      <c r="Q11" s="71" t="s">
        <v>30</v>
      </c>
    </row>
    <row r="12" s="313" customFormat="1" ht="15.75" spans="1:17">
      <c r="A12" s="317">
        <v>46232</v>
      </c>
      <c r="B12" s="81"/>
      <c r="C12" s="318"/>
      <c r="D12" s="319"/>
      <c r="E12" s="319"/>
      <c r="F12" s="81">
        <f t="shared" si="0"/>
        <v>0</v>
      </c>
      <c r="G12" s="320"/>
      <c r="H12" s="82"/>
      <c r="I12" s="84"/>
      <c r="J12" s="84"/>
      <c r="M12" s="316"/>
      <c r="N12" s="316" t="s">
        <v>31</v>
      </c>
      <c r="P12" s="321"/>
      <c r="Q12" s="71" t="s">
        <v>32</v>
      </c>
    </row>
    <row r="13" s="313" customFormat="1" ht="15.75" spans="1:17">
      <c r="A13" s="317">
        <v>46232</v>
      </c>
      <c r="B13" s="81"/>
      <c r="C13" s="318"/>
      <c r="D13" s="319"/>
      <c r="E13" s="319"/>
      <c r="F13" s="81">
        <f t="shared" si="0"/>
        <v>0</v>
      </c>
      <c r="G13" s="320"/>
      <c r="H13" s="82"/>
      <c r="I13" s="84"/>
      <c r="J13" s="84"/>
      <c r="M13" s="316"/>
      <c r="N13" s="316" t="s">
        <v>33</v>
      </c>
      <c r="P13" s="73" t="s">
        <v>34</v>
      </c>
      <c r="Q13" s="73" t="s">
        <v>35</v>
      </c>
    </row>
    <row r="14" s="313" customFormat="1" ht="15.75" spans="1:17">
      <c r="A14" s="317">
        <v>46232</v>
      </c>
      <c r="B14" s="81"/>
      <c r="C14" s="318"/>
      <c r="D14" s="319"/>
      <c r="E14" s="319"/>
      <c r="F14" s="81">
        <f t="shared" si="0"/>
        <v>0</v>
      </c>
      <c r="G14" s="320"/>
      <c r="H14" s="82"/>
      <c r="I14" s="84"/>
      <c r="J14" s="84"/>
      <c r="M14" s="316"/>
      <c r="N14" s="316" t="s">
        <v>36</v>
      </c>
      <c r="P14" s="321"/>
      <c r="Q14" s="73" t="s">
        <v>37</v>
      </c>
    </row>
    <row r="15" s="313" customFormat="1" ht="15.75" spans="1:17">
      <c r="A15" s="317">
        <v>46232</v>
      </c>
      <c r="B15" s="81"/>
      <c r="C15" s="318"/>
      <c r="D15" s="319"/>
      <c r="E15" s="319"/>
      <c r="F15" s="81">
        <f t="shared" si="0"/>
        <v>0</v>
      </c>
      <c r="G15" s="320"/>
      <c r="H15" s="82"/>
      <c r="I15" s="84"/>
      <c r="J15" s="84"/>
      <c r="M15" s="316"/>
      <c r="N15" s="316" t="s">
        <v>38</v>
      </c>
      <c r="P15" s="321"/>
      <c r="Q15" s="73" t="s">
        <v>39</v>
      </c>
    </row>
    <row r="16" s="313" customFormat="1" ht="15.75" spans="1:17">
      <c r="A16" s="317">
        <v>46232</v>
      </c>
      <c r="B16" s="81"/>
      <c r="C16" s="318"/>
      <c r="D16" s="319"/>
      <c r="E16" s="319"/>
      <c r="F16" s="81">
        <f t="shared" si="0"/>
        <v>0</v>
      </c>
      <c r="G16" s="320"/>
      <c r="H16" s="82"/>
      <c r="I16" s="84"/>
      <c r="J16" s="84"/>
      <c r="M16" s="316"/>
      <c r="N16" s="316" t="s">
        <v>40</v>
      </c>
      <c r="P16" s="321"/>
      <c r="Q16" s="73" t="s">
        <v>41</v>
      </c>
    </row>
    <row r="17" s="313" customFormat="1" ht="15.75" spans="1:17">
      <c r="A17" s="317">
        <v>46232</v>
      </c>
      <c r="B17" s="81"/>
      <c r="C17" s="318"/>
      <c r="D17" s="319"/>
      <c r="E17" s="319"/>
      <c r="F17" s="81">
        <f t="shared" si="0"/>
        <v>0</v>
      </c>
      <c r="G17" s="320"/>
      <c r="H17" s="82"/>
      <c r="I17" s="84"/>
      <c r="J17" s="84"/>
      <c r="M17" s="316"/>
      <c r="N17" s="316" t="s">
        <v>42</v>
      </c>
      <c r="P17" s="321"/>
      <c r="Q17" s="75" t="s">
        <v>43</v>
      </c>
    </row>
    <row r="18" s="313" customFormat="1" ht="15.75" spans="1:17">
      <c r="A18" s="317">
        <v>46232</v>
      </c>
      <c r="B18" s="81"/>
      <c r="C18" s="318"/>
      <c r="D18" s="319"/>
      <c r="E18" s="319"/>
      <c r="F18" s="81">
        <f t="shared" si="0"/>
        <v>0</v>
      </c>
      <c r="G18" s="320"/>
      <c r="H18" s="82"/>
      <c r="I18" s="84"/>
      <c r="J18" s="84"/>
      <c r="M18" s="316" t="s">
        <v>44</v>
      </c>
      <c r="N18" s="316" t="s">
        <v>45</v>
      </c>
      <c r="P18" s="321"/>
      <c r="Q18" s="75" t="s">
        <v>46</v>
      </c>
    </row>
    <row r="19" s="313" customFormat="1" ht="15.75" spans="1:17">
      <c r="A19" s="317">
        <v>46232</v>
      </c>
      <c r="B19" s="81"/>
      <c r="C19" s="318"/>
      <c r="D19" s="319"/>
      <c r="E19" s="319"/>
      <c r="F19" s="81">
        <f t="shared" si="0"/>
        <v>0</v>
      </c>
      <c r="G19" s="320"/>
      <c r="H19" s="82"/>
      <c r="I19" s="84"/>
      <c r="J19" s="84"/>
      <c r="M19" s="316"/>
      <c r="N19" s="316" t="s">
        <v>47</v>
      </c>
      <c r="P19" s="321"/>
      <c r="Q19" s="76" t="s">
        <v>48</v>
      </c>
    </row>
    <row r="20" s="313" customFormat="1" ht="15.75" spans="1:17">
      <c r="A20" s="317">
        <v>46232</v>
      </c>
      <c r="B20" s="81"/>
      <c r="C20" s="318"/>
      <c r="D20" s="319"/>
      <c r="E20" s="319"/>
      <c r="F20" s="81">
        <f t="shared" si="0"/>
        <v>0</v>
      </c>
      <c r="G20" s="320"/>
      <c r="H20" s="82"/>
      <c r="I20" s="84"/>
      <c r="J20" s="84"/>
      <c r="M20" s="316" t="s">
        <v>49</v>
      </c>
      <c r="N20" s="316" t="s">
        <v>50</v>
      </c>
      <c r="P20" s="76" t="s">
        <v>51</v>
      </c>
      <c r="Q20" s="76" t="s">
        <v>52</v>
      </c>
    </row>
    <row r="21" s="313" customFormat="1" ht="15.75" spans="1:17">
      <c r="A21" s="317">
        <v>46232</v>
      </c>
      <c r="B21" s="81"/>
      <c r="C21" s="318"/>
      <c r="D21" s="319"/>
      <c r="E21" s="319"/>
      <c r="F21" s="81">
        <f t="shared" si="0"/>
        <v>0</v>
      </c>
      <c r="G21" s="320"/>
      <c r="H21" s="82"/>
      <c r="I21" s="84"/>
      <c r="J21" s="84"/>
      <c r="M21" s="316"/>
      <c r="N21" s="316" t="s">
        <v>53</v>
      </c>
      <c r="P21" s="321"/>
      <c r="Q21" s="76" t="s">
        <v>54</v>
      </c>
    </row>
    <row r="22" s="313" customFormat="1" ht="15.75" spans="1:17">
      <c r="A22" s="317">
        <v>46232</v>
      </c>
      <c r="B22" s="81"/>
      <c r="C22" s="318"/>
      <c r="D22" s="319"/>
      <c r="E22" s="319"/>
      <c r="F22" s="81">
        <f t="shared" si="0"/>
        <v>0</v>
      </c>
      <c r="G22" s="320"/>
      <c r="H22" s="82"/>
      <c r="I22" s="84"/>
      <c r="J22" s="84"/>
      <c r="M22" s="316"/>
      <c r="N22" s="316" t="s">
        <v>55</v>
      </c>
      <c r="P22" s="321"/>
      <c r="Q22" s="77" t="s">
        <v>56</v>
      </c>
    </row>
    <row r="23" s="313" customFormat="1" ht="15.75" spans="1:17">
      <c r="A23" s="317">
        <v>46232</v>
      </c>
      <c r="B23" s="81"/>
      <c r="C23" s="318"/>
      <c r="D23" s="319"/>
      <c r="E23" s="319"/>
      <c r="F23" s="81">
        <f t="shared" si="0"/>
        <v>0</v>
      </c>
      <c r="G23" s="320"/>
      <c r="H23" s="82"/>
      <c r="I23" s="84"/>
      <c r="J23" s="84"/>
      <c r="M23" s="316"/>
      <c r="N23" s="316" t="s">
        <v>57</v>
      </c>
      <c r="P23" s="321"/>
      <c r="Q23" s="77" t="s">
        <v>58</v>
      </c>
    </row>
    <row r="24" s="313" customFormat="1" ht="15.75" spans="1:17">
      <c r="A24" s="317">
        <v>46232</v>
      </c>
      <c r="B24" s="81"/>
      <c r="C24" s="318"/>
      <c r="D24" s="319"/>
      <c r="E24" s="319"/>
      <c r="F24" s="81">
        <f t="shared" si="0"/>
        <v>0</v>
      </c>
      <c r="G24" s="320"/>
      <c r="H24" s="82"/>
      <c r="I24" s="84"/>
      <c r="J24" s="84"/>
      <c r="M24" s="316"/>
      <c r="N24" s="316" t="s">
        <v>59</v>
      </c>
      <c r="P24" s="321"/>
      <c r="Q24" s="77" t="s">
        <v>60</v>
      </c>
    </row>
    <row r="25" s="313" customFormat="1" ht="15.75" spans="1:17">
      <c r="A25" s="317">
        <v>46232</v>
      </c>
      <c r="B25" s="81"/>
      <c r="C25" s="318"/>
      <c r="D25" s="319"/>
      <c r="E25" s="319"/>
      <c r="F25" s="81">
        <f t="shared" si="0"/>
        <v>0</v>
      </c>
      <c r="G25" s="320"/>
      <c r="H25" s="82"/>
      <c r="I25" s="84"/>
      <c r="J25" s="84"/>
      <c r="M25" s="316"/>
      <c r="N25" s="316" t="s">
        <v>61</v>
      </c>
      <c r="P25" s="321"/>
      <c r="Q25" s="71"/>
    </row>
    <row r="26" s="313" customFormat="1" ht="15.75" spans="1:17">
      <c r="A26" s="317">
        <v>46232</v>
      </c>
      <c r="B26" s="81"/>
      <c r="C26" s="318"/>
      <c r="D26" s="319"/>
      <c r="E26" s="319"/>
      <c r="F26" s="81">
        <f t="shared" si="0"/>
        <v>0</v>
      </c>
      <c r="G26" s="320"/>
      <c r="H26" s="82"/>
      <c r="I26" s="84"/>
      <c r="J26" s="84"/>
      <c r="M26" s="316"/>
      <c r="N26" s="316" t="s">
        <v>62</v>
      </c>
      <c r="P26" s="321"/>
      <c r="Q26" s="71"/>
    </row>
    <row r="27" s="313" customFormat="1" ht="15.75" spans="1:17">
      <c r="A27" s="317">
        <v>46232</v>
      </c>
      <c r="B27" s="81"/>
      <c r="C27" s="318"/>
      <c r="D27" s="319"/>
      <c r="E27" s="319"/>
      <c r="F27" s="81">
        <f t="shared" si="0"/>
        <v>0</v>
      </c>
      <c r="G27" s="320"/>
      <c r="H27" s="82"/>
      <c r="I27" s="84"/>
      <c r="J27" s="84"/>
      <c r="M27" s="316"/>
      <c r="N27" s="316" t="s">
        <v>63</v>
      </c>
      <c r="P27" s="321"/>
      <c r="Q27" s="71"/>
    </row>
    <row r="28" s="313" customFormat="1" ht="15.75" spans="1:17">
      <c r="A28" s="317">
        <v>46232</v>
      </c>
      <c r="B28" s="81"/>
      <c r="C28" s="318"/>
      <c r="D28" s="319"/>
      <c r="E28" s="319"/>
      <c r="F28" s="81">
        <f t="shared" si="0"/>
        <v>0</v>
      </c>
      <c r="G28" s="320"/>
      <c r="H28" s="82"/>
      <c r="I28" s="84"/>
      <c r="J28" s="84"/>
      <c r="M28" s="316"/>
      <c r="N28" s="316" t="s">
        <v>64</v>
      </c>
      <c r="P28" s="321"/>
      <c r="Q28" s="71"/>
    </row>
    <row r="29" s="313" customFormat="1" ht="15.75" spans="1:17">
      <c r="A29" s="317">
        <v>46232</v>
      </c>
      <c r="B29" s="81"/>
      <c r="C29" s="318"/>
      <c r="D29" s="319"/>
      <c r="E29" s="319"/>
      <c r="F29" s="81">
        <f t="shared" si="0"/>
        <v>0</v>
      </c>
      <c r="G29" s="320"/>
      <c r="H29" s="82"/>
      <c r="I29" s="84"/>
      <c r="J29" s="84"/>
      <c r="M29" s="316"/>
      <c r="N29" s="316" t="s">
        <v>65</v>
      </c>
      <c r="P29" s="321"/>
      <c r="Q29" s="71"/>
    </row>
    <row r="30" s="313" customFormat="1" ht="15.75" spans="1:17">
      <c r="A30" s="317">
        <v>46232</v>
      </c>
      <c r="B30" s="81"/>
      <c r="C30" s="318"/>
      <c r="D30" s="319"/>
      <c r="E30" s="319"/>
      <c r="F30" s="81">
        <f t="shared" si="0"/>
        <v>0</v>
      </c>
      <c r="G30" s="320"/>
      <c r="H30" s="82"/>
      <c r="I30" s="84"/>
      <c r="J30" s="84"/>
      <c r="M30" s="316"/>
      <c r="N30" s="316" t="s">
        <v>66</v>
      </c>
      <c r="P30" s="321"/>
      <c r="Q30" s="71"/>
    </row>
    <row r="31" s="313" customFormat="1" ht="15.75" spans="1:17">
      <c r="A31" s="317">
        <v>46054</v>
      </c>
      <c r="B31" s="81"/>
      <c r="C31" s="318"/>
      <c r="D31" s="319"/>
      <c r="E31" s="319"/>
      <c r="F31" s="81">
        <f t="shared" si="0"/>
        <v>0</v>
      </c>
      <c r="G31" s="320"/>
      <c r="H31" s="82"/>
      <c r="I31" s="84"/>
      <c r="J31" s="84"/>
      <c r="M31" s="316" t="s">
        <v>67</v>
      </c>
      <c r="N31" s="316" t="s">
        <v>68</v>
      </c>
      <c r="P31" s="321"/>
      <c r="Q31" s="71"/>
    </row>
    <row r="32" s="313" customFormat="1" ht="15.75" spans="1:17">
      <c r="A32" s="317">
        <v>46054</v>
      </c>
      <c r="B32" s="81"/>
      <c r="C32" s="318"/>
      <c r="D32" s="319"/>
      <c r="E32" s="319"/>
      <c r="F32" s="81">
        <f t="shared" si="0"/>
        <v>0</v>
      </c>
      <c r="G32" s="320"/>
      <c r="H32" s="82"/>
      <c r="I32" s="84"/>
      <c r="J32" s="84"/>
      <c r="M32" s="316"/>
      <c r="N32" s="316" t="s">
        <v>69</v>
      </c>
      <c r="P32" s="321"/>
      <c r="Q32" s="71"/>
    </row>
    <row r="33" s="313" customFormat="1" ht="15.75" spans="1:17">
      <c r="A33" s="317">
        <v>46054</v>
      </c>
      <c r="B33" s="81"/>
      <c r="C33" s="318"/>
      <c r="D33" s="319"/>
      <c r="E33" s="319"/>
      <c r="F33" s="81">
        <f t="shared" si="0"/>
        <v>0</v>
      </c>
      <c r="G33" s="320"/>
      <c r="H33" s="82"/>
      <c r="I33" s="84"/>
      <c r="J33" s="84"/>
      <c r="M33" s="316"/>
      <c r="N33" s="316" t="s">
        <v>70</v>
      </c>
      <c r="P33" s="321"/>
      <c r="Q33" s="71"/>
    </row>
    <row r="34" s="313" customFormat="1" ht="15.75" spans="1:17">
      <c r="A34" s="317">
        <v>46054</v>
      </c>
      <c r="B34" s="81"/>
      <c r="C34" s="318"/>
      <c r="D34" s="319"/>
      <c r="E34" s="319"/>
      <c r="F34" s="81">
        <f t="shared" si="0"/>
        <v>0</v>
      </c>
      <c r="G34" s="320"/>
      <c r="H34" s="82"/>
      <c r="I34" s="84"/>
      <c r="J34" s="84"/>
      <c r="M34" s="316"/>
      <c r="N34" s="316" t="s">
        <v>71</v>
      </c>
      <c r="P34" s="321"/>
      <c r="Q34" s="71"/>
    </row>
    <row r="35" s="313" customFormat="1" ht="15.75" spans="1:17">
      <c r="A35" s="317">
        <v>46054</v>
      </c>
      <c r="B35" s="81"/>
      <c r="C35" s="318"/>
      <c r="D35" s="319"/>
      <c r="E35" s="319"/>
      <c r="F35" s="81">
        <f t="shared" si="0"/>
        <v>0</v>
      </c>
      <c r="G35" s="320"/>
      <c r="H35" s="82"/>
      <c r="I35" s="84"/>
      <c r="J35" s="84"/>
      <c r="M35" s="316"/>
      <c r="N35" s="316" t="s">
        <v>72</v>
      </c>
      <c r="P35" s="321"/>
      <c r="Q35" s="71"/>
    </row>
    <row r="36" s="313" customFormat="1" ht="15.75" spans="1:17">
      <c r="A36" s="317">
        <v>46054</v>
      </c>
      <c r="B36" s="81"/>
      <c r="C36" s="318"/>
      <c r="D36" s="319"/>
      <c r="E36" s="319"/>
      <c r="F36" s="81">
        <f t="shared" si="0"/>
        <v>0</v>
      </c>
      <c r="G36" s="320"/>
      <c r="H36" s="82"/>
      <c r="I36" s="84"/>
      <c r="J36" s="84"/>
      <c r="M36" s="316"/>
      <c r="N36" s="316" t="s">
        <v>73</v>
      </c>
      <c r="P36" s="321"/>
      <c r="Q36" s="71"/>
    </row>
    <row r="37" s="313" customFormat="1" ht="15.75" spans="1:17">
      <c r="A37" s="317">
        <v>46054</v>
      </c>
      <c r="B37" s="81"/>
      <c r="C37" s="318"/>
      <c r="D37" s="319"/>
      <c r="E37" s="319"/>
      <c r="F37" s="81">
        <f t="shared" si="0"/>
        <v>0</v>
      </c>
      <c r="G37" s="320"/>
      <c r="H37" s="82"/>
      <c r="I37" s="84"/>
      <c r="J37" s="84"/>
      <c r="M37" s="316"/>
      <c r="N37" s="316" t="s">
        <v>74</v>
      </c>
      <c r="P37" s="321"/>
      <c r="Q37" s="71"/>
    </row>
    <row r="38" s="313" customFormat="1" ht="15.75" spans="1:17">
      <c r="A38" s="317">
        <v>46054</v>
      </c>
      <c r="B38" s="81"/>
      <c r="C38" s="318"/>
      <c r="D38" s="319"/>
      <c r="E38" s="319"/>
      <c r="F38" s="81">
        <f t="shared" si="0"/>
        <v>0</v>
      </c>
      <c r="G38" s="320"/>
      <c r="H38" s="82"/>
      <c r="I38" s="84"/>
      <c r="J38" s="84"/>
      <c r="M38" s="316"/>
      <c r="N38" s="316" t="s">
        <v>75</v>
      </c>
      <c r="P38" s="321"/>
      <c r="Q38" s="71"/>
    </row>
    <row r="39" s="313" customFormat="1" ht="15.75" spans="1:17">
      <c r="A39" s="317">
        <v>46054</v>
      </c>
      <c r="B39" s="81"/>
      <c r="C39" s="318"/>
      <c r="D39" s="319"/>
      <c r="E39" s="319"/>
      <c r="F39" s="81">
        <f t="shared" si="0"/>
        <v>0</v>
      </c>
      <c r="G39" s="320"/>
      <c r="H39" s="82"/>
      <c r="I39" s="84"/>
      <c r="J39" s="84"/>
      <c r="M39" s="316"/>
      <c r="N39" s="316" t="s">
        <v>76</v>
      </c>
      <c r="P39" s="321"/>
      <c r="Q39" s="71"/>
    </row>
    <row r="40" s="313" customFormat="1" ht="15.75" spans="1:17">
      <c r="A40" s="317">
        <v>46054</v>
      </c>
      <c r="B40" s="81"/>
      <c r="C40" s="318"/>
      <c r="D40" s="319"/>
      <c r="E40" s="319"/>
      <c r="F40" s="81">
        <f t="shared" si="0"/>
        <v>0</v>
      </c>
      <c r="G40" s="320"/>
      <c r="H40" s="82"/>
      <c r="I40" s="84"/>
      <c r="J40" s="84"/>
      <c r="M40" s="316"/>
      <c r="N40" s="316" t="s">
        <v>77</v>
      </c>
      <c r="P40" s="321"/>
      <c r="Q40" s="71"/>
    </row>
    <row r="41" s="313" customFormat="1" ht="15.75" spans="1:17">
      <c r="A41" s="317">
        <v>46054</v>
      </c>
      <c r="B41" s="81"/>
      <c r="C41" s="318"/>
      <c r="D41" s="319"/>
      <c r="E41" s="319"/>
      <c r="F41" s="81">
        <f t="shared" si="0"/>
        <v>0</v>
      </c>
      <c r="G41" s="320"/>
      <c r="H41" s="82"/>
      <c r="I41" s="84"/>
      <c r="J41" s="84"/>
      <c r="M41" s="316"/>
      <c r="N41" s="316" t="s">
        <v>78</v>
      </c>
      <c r="P41" s="321"/>
      <c r="Q41" s="71"/>
    </row>
    <row r="42" s="313" customFormat="1" ht="15.75" spans="1:17">
      <c r="A42" s="317">
        <v>46054</v>
      </c>
      <c r="B42" s="81"/>
      <c r="C42" s="318"/>
      <c r="D42" s="319"/>
      <c r="E42" s="319"/>
      <c r="F42" s="81">
        <f t="shared" si="0"/>
        <v>0</v>
      </c>
      <c r="G42" s="320"/>
      <c r="H42" s="82"/>
      <c r="I42" s="84"/>
      <c r="J42" s="84"/>
      <c r="M42" s="316"/>
      <c r="N42" s="316" t="s">
        <v>79</v>
      </c>
      <c r="P42" s="321"/>
      <c r="Q42" s="71"/>
    </row>
    <row r="43" s="313" customFormat="1" ht="15.75" spans="1:17">
      <c r="A43" s="317">
        <v>46054</v>
      </c>
      <c r="B43" s="81"/>
      <c r="C43" s="318"/>
      <c r="D43" s="319"/>
      <c r="E43" s="319"/>
      <c r="F43" s="81">
        <f t="shared" si="0"/>
        <v>0</v>
      </c>
      <c r="G43" s="320"/>
      <c r="H43" s="82"/>
      <c r="I43" s="84"/>
      <c r="J43" s="84"/>
      <c r="M43" s="316"/>
      <c r="N43" s="316" t="s">
        <v>80</v>
      </c>
      <c r="P43" s="321"/>
      <c r="Q43" s="71"/>
    </row>
    <row r="44" s="313" customFormat="1" ht="15.75" spans="1:17">
      <c r="A44" s="317">
        <v>46054</v>
      </c>
      <c r="B44" s="81"/>
      <c r="C44" s="318"/>
      <c r="D44" s="319"/>
      <c r="E44" s="319"/>
      <c r="F44" s="81">
        <f t="shared" si="0"/>
        <v>0</v>
      </c>
      <c r="G44" s="320"/>
      <c r="H44" s="82"/>
      <c r="I44" s="84"/>
      <c r="J44" s="84"/>
      <c r="M44" s="316"/>
      <c r="N44" s="316" t="s">
        <v>81</v>
      </c>
      <c r="P44" s="321"/>
      <c r="Q44" s="71"/>
    </row>
    <row r="45" s="313" customFormat="1" ht="15.75" spans="1:17">
      <c r="A45" s="317">
        <v>46054</v>
      </c>
      <c r="B45" s="81"/>
      <c r="C45" s="318"/>
      <c r="D45" s="319"/>
      <c r="E45" s="319"/>
      <c r="F45" s="81">
        <f t="shared" si="0"/>
        <v>0</v>
      </c>
      <c r="G45" s="320"/>
      <c r="H45" s="82"/>
      <c r="I45" s="84"/>
      <c r="J45" s="84"/>
      <c r="M45" s="316" t="s">
        <v>82</v>
      </c>
      <c r="N45" s="316" t="s">
        <v>83</v>
      </c>
      <c r="P45" s="321"/>
      <c r="Q45" s="71"/>
    </row>
    <row r="46" ht="15.75" spans="1:17">
      <c r="A46" s="317">
        <v>46054</v>
      </c>
      <c r="B46" s="81"/>
      <c r="C46" s="318"/>
      <c r="D46" s="319"/>
      <c r="E46" s="319"/>
      <c r="F46" s="81">
        <f t="shared" si="0"/>
        <v>0</v>
      </c>
      <c r="G46" s="84"/>
      <c r="H46" s="82"/>
      <c r="I46" s="84"/>
      <c r="J46" s="84"/>
      <c r="M46" s="316"/>
      <c r="N46" s="316" t="s">
        <v>84</v>
      </c>
      <c r="O46" s="70"/>
      <c r="P46" s="70"/>
    </row>
    <row r="47" ht="15.75" spans="1:17">
      <c r="A47" s="317">
        <v>46054</v>
      </c>
      <c r="B47" s="81"/>
      <c r="C47" s="318"/>
      <c r="D47" s="319"/>
      <c r="E47" s="319"/>
      <c r="F47" s="81">
        <f t="shared" si="0"/>
        <v>0</v>
      </c>
      <c r="G47" s="84"/>
      <c r="H47" s="82"/>
      <c r="I47" s="84"/>
      <c r="J47" s="84"/>
      <c r="M47" s="316"/>
      <c r="N47" s="316" t="s">
        <v>85</v>
      </c>
      <c r="O47" s="321"/>
      <c r="P47" s="70"/>
    </row>
    <row r="48" ht="15.75" spans="1:17">
      <c r="A48" s="317">
        <v>46054</v>
      </c>
      <c r="B48" s="81"/>
      <c r="C48" s="318"/>
      <c r="D48" s="319"/>
      <c r="E48" s="319"/>
      <c r="F48" s="81">
        <f t="shared" si="0"/>
        <v>0</v>
      </c>
      <c r="G48" s="84"/>
      <c r="H48" s="82"/>
      <c r="I48" s="84"/>
      <c r="J48" s="84"/>
      <c r="M48" s="316"/>
      <c r="N48" s="316" t="s">
        <v>86</v>
      </c>
      <c r="O48" s="321"/>
      <c r="P48" s="70"/>
    </row>
    <row r="49" ht="15.75" spans="1:17">
      <c r="A49" s="317">
        <v>46054</v>
      </c>
      <c r="B49" s="81"/>
      <c r="C49" s="318"/>
      <c r="D49" s="81"/>
      <c r="E49" s="81"/>
      <c r="F49" s="81">
        <f t="shared" si="0"/>
        <v>0</v>
      </c>
      <c r="G49" s="84"/>
      <c r="H49" s="82"/>
      <c r="I49" s="84"/>
      <c r="J49" s="84"/>
      <c r="M49" s="316"/>
      <c r="N49" s="316" t="s">
        <v>87</v>
      </c>
      <c r="O49" s="321"/>
      <c r="P49" s="70"/>
    </row>
    <row r="50" ht="15.75" spans="1:17">
      <c r="A50" s="317">
        <v>46054</v>
      </c>
      <c r="B50" s="81"/>
      <c r="C50" s="318"/>
      <c r="D50" s="81"/>
      <c r="E50" s="81"/>
      <c r="F50" s="81">
        <f t="shared" si="0"/>
        <v>0</v>
      </c>
      <c r="G50" s="84"/>
      <c r="H50" s="82"/>
      <c r="I50" s="84"/>
      <c r="J50" s="84"/>
      <c r="M50" s="316" t="s">
        <v>88</v>
      </c>
      <c r="N50" s="316" t="s">
        <v>89</v>
      </c>
      <c r="O50" s="321"/>
      <c r="P50" s="70"/>
      <c r="Q50" s="73"/>
    </row>
    <row r="51" ht="15.75" spans="1:17">
      <c r="A51" s="317">
        <v>46054</v>
      </c>
      <c r="B51" s="81"/>
      <c r="C51" s="318"/>
      <c r="D51" s="81"/>
      <c r="E51" s="81"/>
      <c r="F51" s="81">
        <f t="shared" si="0"/>
        <v>0</v>
      </c>
      <c r="G51" s="84"/>
      <c r="H51" s="82"/>
      <c r="I51" s="84"/>
      <c r="J51" s="84"/>
      <c r="M51" s="316"/>
      <c r="N51" s="316" t="s">
        <v>90</v>
      </c>
      <c r="O51" s="321"/>
      <c r="P51" s="70"/>
      <c r="Q51" s="73"/>
    </row>
    <row r="52" ht="15.75" spans="1:17">
      <c r="A52" s="317">
        <v>46054</v>
      </c>
      <c r="B52" s="81"/>
      <c r="C52" s="318"/>
      <c r="D52" s="81"/>
      <c r="E52" s="81"/>
      <c r="F52" s="81">
        <f t="shared" si="0"/>
        <v>0</v>
      </c>
      <c r="G52" s="84"/>
      <c r="H52" s="82"/>
      <c r="I52" s="84"/>
      <c r="J52" s="84"/>
      <c r="M52" s="316"/>
      <c r="N52" s="316" t="s">
        <v>91</v>
      </c>
      <c r="O52" s="321"/>
      <c r="P52" s="71"/>
      <c r="Q52" s="73"/>
    </row>
    <row r="53" ht="15.75" spans="1:17">
      <c r="A53" s="317">
        <v>46054</v>
      </c>
      <c r="B53" s="81"/>
      <c r="C53" s="318"/>
      <c r="D53" s="81"/>
      <c r="E53" s="81"/>
      <c r="F53" s="81">
        <f t="shared" si="0"/>
        <v>0</v>
      </c>
      <c r="G53" s="84"/>
      <c r="H53" s="82"/>
      <c r="I53" s="84"/>
      <c r="J53" s="84"/>
      <c r="M53" s="316" t="s">
        <v>92</v>
      </c>
      <c r="N53" s="316" t="s">
        <v>93</v>
      </c>
      <c r="O53" s="321"/>
      <c r="P53" s="71"/>
      <c r="Q53" s="73"/>
    </row>
    <row r="54" ht="15.75" spans="1:17">
      <c r="A54" s="317">
        <v>46054</v>
      </c>
      <c r="B54" s="81"/>
      <c r="C54" s="318"/>
      <c r="D54" s="81"/>
      <c r="E54" s="81"/>
      <c r="F54" s="81">
        <f t="shared" si="0"/>
        <v>0</v>
      </c>
      <c r="G54" s="84"/>
      <c r="H54" s="82"/>
      <c r="I54" s="84"/>
      <c r="J54" s="84"/>
      <c r="M54" s="316"/>
      <c r="N54" s="316" t="s">
        <v>94</v>
      </c>
      <c r="O54" s="321"/>
      <c r="P54" s="71"/>
      <c r="Q54" s="73"/>
    </row>
    <row r="55" ht="15.75" spans="1:17">
      <c r="A55" s="317">
        <v>46054</v>
      </c>
      <c r="B55" s="81"/>
      <c r="C55" s="318"/>
      <c r="D55" s="81"/>
      <c r="E55" s="81"/>
      <c r="F55" s="81">
        <f t="shared" si="0"/>
        <v>0</v>
      </c>
      <c r="G55" s="84"/>
      <c r="H55" s="82"/>
      <c r="I55" s="84"/>
      <c r="J55" s="84"/>
      <c r="M55" s="316"/>
      <c r="N55" s="316" t="s">
        <v>95</v>
      </c>
      <c r="O55" s="321"/>
      <c r="P55" s="71"/>
      <c r="Q55" s="73"/>
    </row>
    <row r="56" ht="15.75" spans="1:17">
      <c r="A56" s="317">
        <v>46054</v>
      </c>
      <c r="B56" s="81"/>
      <c r="C56" s="318"/>
      <c r="D56" s="81"/>
      <c r="E56" s="81"/>
      <c r="F56" s="81">
        <f t="shared" si="0"/>
        <v>0</v>
      </c>
      <c r="G56" s="84"/>
      <c r="H56" s="82"/>
      <c r="I56" s="84"/>
      <c r="J56" s="84"/>
      <c r="M56" s="316"/>
      <c r="N56" s="316" t="s">
        <v>96</v>
      </c>
      <c r="O56" s="73"/>
      <c r="P56" s="73"/>
      <c r="Q56" s="73"/>
    </row>
    <row r="57" ht="15.75" spans="1:17">
      <c r="A57" s="317">
        <v>46054</v>
      </c>
      <c r="B57" s="81"/>
      <c r="C57" s="318"/>
      <c r="D57" s="81"/>
      <c r="E57" s="81"/>
      <c r="F57" s="81">
        <f t="shared" si="0"/>
        <v>0</v>
      </c>
      <c r="G57" s="84"/>
      <c r="H57" s="82"/>
      <c r="I57" s="84"/>
      <c r="J57" s="84"/>
      <c r="M57" s="316"/>
      <c r="N57" s="316" t="s">
        <v>97</v>
      </c>
      <c r="O57" s="321"/>
      <c r="P57" s="73"/>
      <c r="Q57" s="73"/>
    </row>
    <row r="58" ht="15.75" spans="1:17">
      <c r="A58" s="317">
        <v>46054</v>
      </c>
      <c r="B58" s="81"/>
      <c r="C58" s="318"/>
      <c r="D58" s="81"/>
      <c r="E58" s="81"/>
      <c r="F58" s="81">
        <f t="shared" si="0"/>
        <v>0</v>
      </c>
      <c r="G58" s="84"/>
      <c r="H58" s="82"/>
      <c r="I58" s="84"/>
      <c r="J58" s="84"/>
      <c r="M58" s="316"/>
      <c r="N58" s="316" t="s">
        <v>98</v>
      </c>
      <c r="O58" s="321"/>
      <c r="P58" s="73"/>
      <c r="Q58" s="73"/>
    </row>
    <row r="59" ht="15.75" spans="1:17">
      <c r="A59" s="317">
        <v>46054</v>
      </c>
      <c r="B59" s="81"/>
      <c r="C59" s="318"/>
      <c r="D59" s="81"/>
      <c r="E59" s="81"/>
      <c r="F59" s="81">
        <f t="shared" si="0"/>
        <v>0</v>
      </c>
      <c r="G59" s="84"/>
      <c r="H59" s="82"/>
      <c r="I59" s="84"/>
      <c r="J59" s="84"/>
      <c r="M59" s="316" t="s">
        <v>99</v>
      </c>
      <c r="N59" s="316" t="s">
        <v>100</v>
      </c>
      <c r="O59" s="321"/>
      <c r="P59" s="73"/>
      <c r="Q59" s="73"/>
    </row>
    <row r="60" ht="15.75" spans="1:17">
      <c r="A60" s="317">
        <v>46054</v>
      </c>
      <c r="B60" s="81"/>
      <c r="C60" s="318"/>
      <c r="D60" s="81"/>
      <c r="E60" s="81"/>
      <c r="F60" s="81">
        <f t="shared" si="0"/>
        <v>0</v>
      </c>
      <c r="G60" s="84"/>
      <c r="H60" s="82"/>
      <c r="I60" s="84"/>
      <c r="J60" s="84"/>
      <c r="M60" s="316"/>
      <c r="N60" s="316" t="s">
        <v>101</v>
      </c>
      <c r="O60" s="321"/>
      <c r="P60" s="75"/>
      <c r="Q60" s="73"/>
    </row>
    <row r="61" ht="15.75" spans="1:17">
      <c r="A61" s="317">
        <v>46054</v>
      </c>
      <c r="B61" s="81"/>
      <c r="C61" s="318"/>
      <c r="D61" s="81"/>
      <c r="E61" s="81"/>
      <c r="F61" s="81">
        <f t="shared" si="0"/>
        <v>0</v>
      </c>
      <c r="G61" s="84"/>
      <c r="H61" s="82"/>
      <c r="I61" s="84"/>
      <c r="J61" s="84"/>
      <c r="M61" s="316"/>
      <c r="N61" s="316" t="s">
        <v>102</v>
      </c>
      <c r="O61" s="321"/>
      <c r="P61" s="75"/>
      <c r="Q61" s="73"/>
    </row>
    <row r="62" ht="15.75" spans="1:17">
      <c r="A62" s="317">
        <v>46054</v>
      </c>
      <c r="B62" s="81"/>
      <c r="C62" s="318"/>
      <c r="D62" s="81"/>
      <c r="E62" s="81"/>
      <c r="F62" s="81">
        <f t="shared" si="0"/>
        <v>0</v>
      </c>
      <c r="G62" s="84"/>
      <c r="H62" s="82"/>
      <c r="I62" s="84"/>
      <c r="J62" s="84"/>
      <c r="M62" s="316"/>
      <c r="N62" s="316" t="s">
        <v>103</v>
      </c>
      <c r="O62" s="321"/>
      <c r="P62" s="76"/>
      <c r="Q62" s="73"/>
    </row>
    <row r="63" ht="15.75" spans="1:17">
      <c r="A63" s="317">
        <v>46054</v>
      </c>
      <c r="B63" s="81"/>
      <c r="C63" s="318"/>
      <c r="D63" s="81"/>
      <c r="E63" s="81"/>
      <c r="F63" s="81">
        <f t="shared" si="0"/>
        <v>0</v>
      </c>
      <c r="G63" s="84"/>
      <c r="H63" s="82"/>
      <c r="I63" s="84"/>
      <c r="J63" s="84"/>
      <c r="M63" s="316"/>
      <c r="N63" s="316" t="s">
        <v>104</v>
      </c>
      <c r="O63" s="76"/>
      <c r="P63" s="76"/>
      <c r="Q63" s="73"/>
    </row>
    <row r="64" ht="15.75" spans="1:17">
      <c r="A64" s="317">
        <v>46054</v>
      </c>
      <c r="B64" s="81"/>
      <c r="C64" s="318"/>
      <c r="D64" s="81"/>
      <c r="E64" s="81"/>
      <c r="F64" s="81">
        <f t="shared" si="0"/>
        <v>0</v>
      </c>
      <c r="G64" s="84"/>
      <c r="H64" s="82"/>
      <c r="I64" s="84"/>
      <c r="J64" s="84"/>
      <c r="M64" s="316"/>
      <c r="N64" s="316" t="s">
        <v>105</v>
      </c>
      <c r="O64" s="321"/>
      <c r="P64" s="76"/>
      <c r="Q64" s="73"/>
    </row>
    <row r="65" ht="15.75" spans="1:17">
      <c r="A65" s="317">
        <v>46054</v>
      </c>
      <c r="B65" s="81"/>
      <c r="C65" s="318"/>
      <c r="D65" s="81"/>
      <c r="E65" s="81"/>
      <c r="F65" s="81">
        <f t="shared" si="0"/>
        <v>0</v>
      </c>
      <c r="G65" s="84"/>
      <c r="H65" s="82"/>
      <c r="I65" s="84"/>
      <c r="J65" s="84"/>
      <c r="M65" s="316"/>
      <c r="N65" s="316" t="s">
        <v>106</v>
      </c>
      <c r="O65" s="321"/>
      <c r="P65" s="77"/>
      <c r="Q65" s="73"/>
    </row>
    <row r="66" ht="15.75" spans="1:17">
      <c r="A66" s="317">
        <v>46054</v>
      </c>
      <c r="B66" s="81"/>
      <c r="C66" s="318"/>
      <c r="D66" s="81"/>
      <c r="E66" s="81"/>
      <c r="F66" s="81">
        <f t="shared" si="0"/>
        <v>0</v>
      </c>
      <c r="G66" s="84"/>
      <c r="H66" s="82"/>
      <c r="I66" s="84"/>
      <c r="J66" s="84"/>
      <c r="M66" s="316"/>
      <c r="N66" s="316" t="s">
        <v>107</v>
      </c>
      <c r="O66" s="321"/>
      <c r="P66" s="77"/>
      <c r="Q66" s="73"/>
    </row>
    <row r="67" ht="15.75" spans="1:17">
      <c r="A67" s="317">
        <v>46054</v>
      </c>
      <c r="B67" s="81"/>
      <c r="C67" s="318"/>
      <c r="D67" s="81"/>
      <c r="E67" s="81"/>
      <c r="F67" s="81">
        <f t="shared" si="0"/>
        <v>0</v>
      </c>
      <c r="G67" s="84"/>
      <c r="H67" s="82"/>
      <c r="I67" s="84"/>
      <c r="J67" s="84"/>
      <c r="M67" s="316"/>
      <c r="N67" s="316" t="s">
        <v>108</v>
      </c>
      <c r="O67" s="321"/>
      <c r="P67" s="77"/>
      <c r="Q67" s="73"/>
    </row>
    <row r="68" ht="15.75" spans="1:17">
      <c r="A68" s="317">
        <v>46054</v>
      </c>
      <c r="B68" s="81"/>
      <c r="C68" s="318"/>
      <c r="D68" s="81"/>
      <c r="E68" s="81"/>
      <c r="F68" s="81">
        <f t="shared" si="0"/>
        <v>0</v>
      </c>
      <c r="G68" s="84"/>
      <c r="H68" s="82"/>
      <c r="I68" s="84"/>
      <c r="J68" s="84"/>
      <c r="M68" s="316"/>
      <c r="N68" s="316" t="s">
        <v>109</v>
      </c>
      <c r="P68" s="73"/>
      <c r="Q68" s="73"/>
    </row>
    <row r="69" ht="15.75" spans="1:17">
      <c r="A69" s="317">
        <v>46054</v>
      </c>
      <c r="B69" s="81"/>
      <c r="C69" s="318"/>
      <c r="D69" s="81"/>
      <c r="E69" s="81"/>
      <c r="F69" s="81">
        <f t="shared" si="0"/>
        <v>0</v>
      </c>
      <c r="G69" s="84"/>
      <c r="H69" s="82"/>
      <c r="I69" s="84"/>
      <c r="J69" s="84"/>
      <c r="M69" s="316"/>
      <c r="N69" s="316" t="s">
        <v>110</v>
      </c>
      <c r="P69" s="73"/>
      <c r="Q69" s="73"/>
    </row>
    <row r="70" ht="15.75" spans="1:17">
      <c r="A70" s="317">
        <v>46054</v>
      </c>
      <c r="B70" s="81"/>
      <c r="C70" s="318"/>
      <c r="D70" s="81"/>
      <c r="E70" s="81"/>
      <c r="F70" s="81">
        <f t="shared" ref="F70:F133" si="1">F69+D70-E70</f>
        <v>0</v>
      </c>
      <c r="G70" s="84"/>
      <c r="H70" s="82"/>
      <c r="I70" s="84"/>
      <c r="J70" s="84"/>
      <c r="M70" s="316"/>
      <c r="N70" s="316" t="s">
        <v>111</v>
      </c>
      <c r="P70" s="73"/>
      <c r="Q70" s="73"/>
    </row>
    <row r="71" ht="15.75" spans="1:17">
      <c r="A71" s="317">
        <v>46054</v>
      </c>
      <c r="B71" s="81"/>
      <c r="C71" s="318"/>
      <c r="D71" s="81"/>
      <c r="E71" s="81"/>
      <c r="F71" s="81">
        <f t="shared" si="1"/>
        <v>0</v>
      </c>
      <c r="G71" s="84"/>
      <c r="H71" s="82"/>
      <c r="I71" s="84"/>
      <c r="J71" s="84"/>
      <c r="M71" s="316"/>
      <c r="N71" s="316" t="s">
        <v>112</v>
      </c>
      <c r="P71" s="73"/>
      <c r="Q71" s="73"/>
    </row>
    <row r="72" ht="15.75" spans="1:17">
      <c r="A72" s="317">
        <v>46054</v>
      </c>
      <c r="B72" s="81"/>
      <c r="C72" s="318"/>
      <c r="D72" s="81"/>
      <c r="E72" s="81"/>
      <c r="F72" s="81">
        <f t="shared" si="1"/>
        <v>0</v>
      </c>
      <c r="G72" s="84"/>
      <c r="H72" s="82"/>
      <c r="I72" s="84"/>
      <c r="J72" s="84"/>
      <c r="M72" s="316"/>
      <c r="N72" s="316" t="s">
        <v>113</v>
      </c>
      <c r="P72" s="73"/>
      <c r="Q72" s="73"/>
    </row>
    <row r="73" ht="15.75" spans="1:17">
      <c r="A73" s="317">
        <v>46054</v>
      </c>
      <c r="B73" s="81"/>
      <c r="C73" s="318"/>
      <c r="D73" s="81"/>
      <c r="E73" s="81"/>
      <c r="F73" s="81">
        <f t="shared" si="1"/>
        <v>0</v>
      </c>
      <c r="G73" s="84"/>
      <c r="H73" s="82"/>
      <c r="I73" s="84"/>
      <c r="J73" s="84"/>
      <c r="M73" s="316"/>
      <c r="N73" s="316" t="s">
        <v>114</v>
      </c>
      <c r="P73" s="73"/>
      <c r="Q73" s="73"/>
    </row>
    <row r="74" ht="15.75" spans="1:17">
      <c r="A74" s="317">
        <v>46054</v>
      </c>
      <c r="B74" s="81"/>
      <c r="C74" s="318"/>
      <c r="D74" s="81"/>
      <c r="E74" s="81"/>
      <c r="F74" s="81">
        <f t="shared" si="1"/>
        <v>0</v>
      </c>
      <c r="G74" s="84"/>
      <c r="H74" s="82"/>
      <c r="I74" s="84"/>
      <c r="J74" s="84"/>
      <c r="M74" s="316"/>
      <c r="N74" s="316" t="s">
        <v>115</v>
      </c>
      <c r="P74" s="321"/>
    </row>
    <row r="75" ht="15.75" spans="1:17">
      <c r="A75" s="317">
        <v>46054</v>
      </c>
      <c r="B75" s="81"/>
      <c r="C75" s="318"/>
      <c r="D75" s="81"/>
      <c r="E75" s="81"/>
      <c r="F75" s="81">
        <f t="shared" si="1"/>
        <v>0</v>
      </c>
      <c r="G75" s="84"/>
      <c r="H75" s="82"/>
      <c r="I75" s="84"/>
      <c r="J75" s="84"/>
      <c r="M75" s="316"/>
      <c r="P75" s="321"/>
    </row>
    <row r="76" ht="15.75" spans="1:17">
      <c r="A76" s="317">
        <v>46054</v>
      </c>
      <c r="B76" s="81"/>
      <c r="C76" s="318"/>
      <c r="D76" s="81"/>
      <c r="E76" s="81"/>
      <c r="F76" s="81">
        <f t="shared" si="1"/>
        <v>0</v>
      </c>
      <c r="G76" s="84"/>
      <c r="H76" s="82"/>
      <c r="I76" s="84"/>
      <c r="J76" s="84"/>
      <c r="M76" s="316"/>
      <c r="P76" s="321"/>
    </row>
    <row r="77" ht="15.75" spans="1:17">
      <c r="A77" s="317">
        <v>46054</v>
      </c>
      <c r="B77" s="81"/>
      <c r="C77" s="318"/>
      <c r="D77" s="81"/>
      <c r="E77" s="81"/>
      <c r="F77" s="81">
        <f t="shared" si="1"/>
        <v>0</v>
      </c>
      <c r="G77" s="84"/>
      <c r="H77" s="82"/>
      <c r="I77" s="84"/>
      <c r="J77" s="84"/>
      <c r="M77" s="316"/>
      <c r="P77" s="321"/>
    </row>
    <row r="78" ht="15.75" spans="1:17">
      <c r="A78" s="317">
        <v>46054</v>
      </c>
      <c r="B78" s="81"/>
      <c r="C78" s="318"/>
      <c r="D78" s="81"/>
      <c r="E78" s="81"/>
      <c r="F78" s="81">
        <f t="shared" si="1"/>
        <v>0</v>
      </c>
      <c r="G78" s="84"/>
      <c r="H78" s="82"/>
      <c r="I78" s="84"/>
      <c r="J78" s="84"/>
      <c r="P78" s="321"/>
    </row>
    <row r="79" ht="15.75" spans="1:17">
      <c r="A79" s="317">
        <v>46054</v>
      </c>
      <c r="B79" s="81"/>
      <c r="C79" s="318"/>
      <c r="D79" s="81"/>
      <c r="E79" s="81"/>
      <c r="F79" s="81">
        <f t="shared" si="1"/>
        <v>0</v>
      </c>
      <c r="G79" s="84"/>
      <c r="H79" s="82"/>
      <c r="I79" s="84"/>
      <c r="J79" s="84"/>
      <c r="P79" s="321"/>
    </row>
    <row r="80" ht="15.75" spans="1:17">
      <c r="A80" s="317">
        <v>46054</v>
      </c>
      <c r="B80" s="81"/>
      <c r="C80" s="318"/>
      <c r="D80" s="81"/>
      <c r="E80" s="81"/>
      <c r="F80" s="81">
        <f t="shared" si="1"/>
        <v>0</v>
      </c>
      <c r="G80" s="322"/>
      <c r="H80" s="82"/>
      <c r="I80" s="84"/>
      <c r="J80" s="84"/>
    </row>
    <row r="81" ht="15.75" spans="1:10">
      <c r="A81" s="317">
        <v>46054</v>
      </c>
      <c r="B81" s="81"/>
      <c r="C81" s="318"/>
      <c r="D81" s="81"/>
      <c r="E81" s="81"/>
      <c r="F81" s="81">
        <f t="shared" si="1"/>
        <v>0</v>
      </c>
      <c r="G81" s="323"/>
      <c r="H81" s="82"/>
      <c r="I81" s="84"/>
      <c r="J81" s="84"/>
    </row>
    <row r="82" ht="15.75" spans="1:10">
      <c r="A82" s="317">
        <v>46054</v>
      </c>
      <c r="B82" s="81"/>
      <c r="C82" s="318"/>
      <c r="D82" s="81"/>
      <c r="E82" s="81"/>
      <c r="F82" s="81">
        <f t="shared" si="1"/>
        <v>0</v>
      </c>
      <c r="G82" s="84"/>
      <c r="H82" s="82"/>
      <c r="I82" s="84"/>
      <c r="J82" s="84"/>
    </row>
    <row r="83" ht="15.75" spans="1:10">
      <c r="A83" s="317">
        <v>46054</v>
      </c>
      <c r="B83" s="81"/>
      <c r="C83" s="318"/>
      <c r="D83" s="81"/>
      <c r="E83" s="81"/>
      <c r="F83" s="81">
        <f t="shared" si="1"/>
        <v>0</v>
      </c>
      <c r="G83" s="84"/>
      <c r="H83" s="82"/>
      <c r="I83" s="84"/>
      <c r="J83" s="84"/>
    </row>
    <row r="84" ht="15.75" spans="1:10">
      <c r="A84" s="317">
        <v>46054</v>
      </c>
      <c r="B84" s="81"/>
      <c r="C84" s="318"/>
      <c r="D84" s="81"/>
      <c r="E84" s="81"/>
      <c r="F84" s="81">
        <f t="shared" si="1"/>
        <v>0</v>
      </c>
      <c r="G84" s="84"/>
      <c r="H84" s="82"/>
      <c r="I84" s="84"/>
      <c r="J84" s="84"/>
    </row>
    <row r="85" ht="15.75" spans="1:10">
      <c r="A85" s="317">
        <v>46054</v>
      </c>
      <c r="B85" s="81"/>
      <c r="C85" s="318"/>
      <c r="D85" s="81"/>
      <c r="E85" s="81"/>
      <c r="F85" s="81">
        <f t="shared" si="1"/>
        <v>0</v>
      </c>
      <c r="G85" s="84"/>
      <c r="H85" s="82"/>
      <c r="I85" s="84"/>
      <c r="J85" s="84"/>
    </row>
    <row r="86" ht="15.75" spans="1:10">
      <c r="A86" s="317">
        <v>46054</v>
      </c>
      <c r="B86" s="81"/>
      <c r="C86" s="318"/>
      <c r="D86" s="81"/>
      <c r="E86" s="81"/>
      <c r="F86" s="81">
        <f t="shared" si="1"/>
        <v>0</v>
      </c>
      <c r="G86" s="84"/>
      <c r="H86" s="82"/>
      <c r="I86" s="84"/>
      <c r="J86" s="84"/>
    </row>
    <row r="87" ht="15.75" spans="1:10">
      <c r="A87" s="317">
        <v>46054</v>
      </c>
      <c r="B87" s="81"/>
      <c r="C87" s="318"/>
      <c r="D87" s="81"/>
      <c r="E87" s="81"/>
      <c r="F87" s="81">
        <f t="shared" si="1"/>
        <v>0</v>
      </c>
      <c r="G87" s="84"/>
      <c r="H87" s="82"/>
      <c r="I87" s="84"/>
      <c r="J87" s="84"/>
    </row>
    <row r="88" ht="15.75" spans="1:10">
      <c r="A88" s="317">
        <v>46054</v>
      </c>
      <c r="B88" s="81"/>
      <c r="C88" s="318"/>
      <c r="D88" s="81"/>
      <c r="E88" s="81"/>
      <c r="F88" s="81">
        <f t="shared" si="1"/>
        <v>0</v>
      </c>
      <c r="G88" s="84"/>
      <c r="H88" s="82"/>
      <c r="I88" s="84"/>
      <c r="J88" s="84"/>
    </row>
    <row r="89" ht="15.75" spans="1:10">
      <c r="A89" s="317">
        <v>46054</v>
      </c>
      <c r="B89" s="81"/>
      <c r="C89" s="318"/>
      <c r="D89" s="81"/>
      <c r="E89" s="81"/>
      <c r="F89" s="81">
        <f t="shared" si="1"/>
        <v>0</v>
      </c>
      <c r="G89" s="84"/>
      <c r="H89" s="82"/>
      <c r="I89" s="84"/>
      <c r="J89" s="84"/>
    </row>
    <row r="90" ht="15.75" spans="1:10">
      <c r="A90" s="317">
        <v>46054</v>
      </c>
      <c r="B90" s="81"/>
      <c r="C90" s="318"/>
      <c r="D90" s="81"/>
      <c r="E90" s="81"/>
      <c r="F90" s="81">
        <f t="shared" si="1"/>
        <v>0</v>
      </c>
      <c r="G90" s="84"/>
      <c r="H90" s="82"/>
      <c r="I90" s="84"/>
      <c r="J90" s="84"/>
    </row>
    <row r="91" ht="15.75" spans="1:10">
      <c r="A91" s="317">
        <v>46054</v>
      </c>
      <c r="B91" s="81"/>
      <c r="C91" s="318"/>
      <c r="D91" s="81"/>
      <c r="E91" s="81"/>
      <c r="F91" s="81">
        <f t="shared" si="1"/>
        <v>0</v>
      </c>
      <c r="G91" s="84"/>
      <c r="H91" s="82"/>
      <c r="I91" s="84"/>
      <c r="J91" s="84"/>
    </row>
    <row r="92" ht="15.75" spans="1:10">
      <c r="A92" s="317">
        <v>46054</v>
      </c>
      <c r="B92" s="81"/>
      <c r="C92" s="318"/>
      <c r="D92" s="81"/>
      <c r="E92" s="81"/>
      <c r="F92" s="81">
        <f t="shared" si="1"/>
        <v>0</v>
      </c>
      <c r="G92" s="84"/>
      <c r="H92" s="82"/>
      <c r="I92" s="84"/>
      <c r="J92" s="84"/>
    </row>
    <row r="93" ht="15.75" spans="1:10">
      <c r="A93" s="317">
        <v>46054</v>
      </c>
      <c r="B93" s="81"/>
      <c r="C93" s="318"/>
      <c r="D93" s="81"/>
      <c r="E93" s="81"/>
      <c r="F93" s="81">
        <f t="shared" si="1"/>
        <v>0</v>
      </c>
      <c r="G93" s="84"/>
      <c r="H93" s="82"/>
      <c r="I93" s="84"/>
      <c r="J93" s="84"/>
    </row>
    <row r="94" ht="15.75" spans="1:10">
      <c r="A94" s="317">
        <v>46054</v>
      </c>
      <c r="B94" s="81"/>
      <c r="C94" s="318"/>
      <c r="D94" s="81"/>
      <c r="E94" s="81"/>
      <c r="F94" s="81">
        <f t="shared" si="1"/>
        <v>0</v>
      </c>
      <c r="G94" s="84"/>
      <c r="H94" s="82"/>
      <c r="I94" s="84"/>
      <c r="J94" s="84"/>
    </row>
    <row r="95" ht="15.75" spans="1:10">
      <c r="A95" s="317">
        <v>46054</v>
      </c>
      <c r="B95" s="81"/>
      <c r="C95" s="318"/>
      <c r="D95" s="81"/>
      <c r="E95" s="81"/>
      <c r="F95" s="81">
        <f t="shared" si="1"/>
        <v>0</v>
      </c>
      <c r="G95" s="84"/>
      <c r="H95" s="82"/>
      <c r="I95" s="84"/>
      <c r="J95" s="84"/>
    </row>
    <row r="96" ht="15.75" spans="1:10">
      <c r="A96" s="317">
        <v>46054</v>
      </c>
      <c r="B96" s="81"/>
      <c r="C96" s="318"/>
      <c r="D96" s="81"/>
      <c r="E96" s="81"/>
      <c r="F96" s="81">
        <f t="shared" si="1"/>
        <v>0</v>
      </c>
      <c r="G96" s="84"/>
      <c r="H96" s="82"/>
      <c r="I96" s="84"/>
      <c r="J96" s="84"/>
    </row>
    <row r="97" ht="15.75" spans="1:10">
      <c r="A97" s="317">
        <v>46054</v>
      </c>
      <c r="B97" s="81"/>
      <c r="C97" s="318"/>
      <c r="D97" s="81"/>
      <c r="E97" s="81"/>
      <c r="F97" s="81">
        <f t="shared" si="1"/>
        <v>0</v>
      </c>
      <c r="G97" s="84"/>
      <c r="H97" s="82"/>
      <c r="I97" s="84"/>
      <c r="J97" s="84"/>
    </row>
    <row r="98" ht="15.75" spans="1:10">
      <c r="A98" s="317">
        <v>46054</v>
      </c>
      <c r="B98" s="81"/>
      <c r="C98" s="318"/>
      <c r="D98" s="81"/>
      <c r="E98" s="81"/>
      <c r="F98" s="81">
        <f t="shared" si="1"/>
        <v>0</v>
      </c>
      <c r="G98" s="84"/>
      <c r="H98" s="82"/>
      <c r="I98" s="84"/>
      <c r="J98" s="84"/>
    </row>
    <row r="99" ht="15.75" spans="1:10">
      <c r="A99" s="317">
        <v>46054</v>
      </c>
      <c r="B99" s="81"/>
      <c r="C99" s="318"/>
      <c r="D99" s="81"/>
      <c r="E99" s="81"/>
      <c r="F99" s="81">
        <f t="shared" si="1"/>
        <v>0</v>
      </c>
      <c r="G99" s="84"/>
      <c r="H99" s="82"/>
      <c r="I99" s="84"/>
      <c r="J99" s="84"/>
    </row>
    <row r="100" ht="15.75" spans="1:10">
      <c r="A100" s="317">
        <v>46054</v>
      </c>
      <c r="B100" s="81"/>
      <c r="C100" s="318"/>
      <c r="D100" s="81"/>
      <c r="E100" s="81"/>
      <c r="F100" s="81">
        <f t="shared" si="1"/>
        <v>0</v>
      </c>
      <c r="G100" s="84"/>
      <c r="H100" s="82"/>
      <c r="I100" s="84"/>
      <c r="J100" s="84"/>
    </row>
    <row r="101" ht="15.75" spans="1:10">
      <c r="A101" s="317">
        <v>46054</v>
      </c>
      <c r="B101" s="81"/>
      <c r="C101" s="318"/>
      <c r="D101" s="81"/>
      <c r="E101" s="81"/>
      <c r="F101" s="81">
        <f t="shared" si="1"/>
        <v>0</v>
      </c>
      <c r="G101" s="84"/>
      <c r="H101" s="82"/>
      <c r="I101" s="84"/>
      <c r="J101" s="84"/>
    </row>
    <row r="102" ht="15.75" spans="1:10">
      <c r="A102" s="317">
        <v>46054</v>
      </c>
      <c r="B102" s="81"/>
      <c r="C102" s="318"/>
      <c r="D102" s="81"/>
      <c r="E102" s="81"/>
      <c r="F102" s="81">
        <f t="shared" si="1"/>
        <v>0</v>
      </c>
      <c r="G102" s="84"/>
      <c r="H102" s="82"/>
      <c r="I102" s="84"/>
      <c r="J102" s="84"/>
    </row>
    <row r="103" ht="15.75" spans="1:10">
      <c r="A103" s="317">
        <v>46054</v>
      </c>
      <c r="B103" s="81"/>
      <c r="C103" s="318"/>
      <c r="D103" s="81"/>
      <c r="E103" s="81"/>
      <c r="F103" s="81">
        <f t="shared" si="1"/>
        <v>0</v>
      </c>
      <c r="G103" s="84"/>
      <c r="H103" s="82"/>
      <c r="I103" s="84"/>
      <c r="J103" s="84"/>
    </row>
    <row r="104" ht="15.75" spans="1:10">
      <c r="A104" s="317">
        <v>46054</v>
      </c>
      <c r="B104" s="81"/>
      <c r="C104" s="318"/>
      <c r="D104" s="81"/>
      <c r="E104" s="81"/>
      <c r="F104" s="81">
        <f t="shared" si="1"/>
        <v>0</v>
      </c>
      <c r="G104" s="84"/>
      <c r="H104" s="82"/>
      <c r="I104" s="84"/>
      <c r="J104" s="84"/>
    </row>
    <row r="105" ht="15.75" spans="1:10">
      <c r="A105" s="317">
        <v>46054</v>
      </c>
      <c r="B105" s="81"/>
      <c r="C105" s="318"/>
      <c r="D105" s="81"/>
      <c r="E105" s="81"/>
      <c r="F105" s="81">
        <f t="shared" si="1"/>
        <v>0</v>
      </c>
      <c r="G105" s="84"/>
      <c r="H105" s="82"/>
      <c r="I105" s="84"/>
      <c r="J105" s="84"/>
    </row>
    <row r="106" ht="15.75" spans="1:10">
      <c r="A106" s="317">
        <v>46054</v>
      </c>
      <c r="B106" s="81"/>
      <c r="C106" s="318"/>
      <c r="D106" s="81"/>
      <c r="E106" s="81"/>
      <c r="F106" s="81">
        <f t="shared" si="1"/>
        <v>0</v>
      </c>
      <c r="G106" s="84"/>
      <c r="H106" s="82"/>
      <c r="I106" s="84"/>
      <c r="J106" s="84"/>
    </row>
    <row r="107" ht="15.75" spans="1:10">
      <c r="A107" s="317">
        <v>46054</v>
      </c>
      <c r="B107" s="81"/>
      <c r="C107" s="318"/>
      <c r="D107" s="81"/>
      <c r="E107" s="81"/>
      <c r="F107" s="81">
        <f t="shared" si="1"/>
        <v>0</v>
      </c>
      <c r="G107" s="84"/>
      <c r="H107" s="82"/>
      <c r="I107" s="84"/>
      <c r="J107" s="84"/>
    </row>
    <row r="108" ht="15.75" spans="1:10">
      <c r="A108" s="317">
        <v>46054</v>
      </c>
      <c r="B108" s="81"/>
      <c r="C108" s="318"/>
      <c r="D108" s="81"/>
      <c r="E108" s="81"/>
      <c r="F108" s="81">
        <f t="shared" si="1"/>
        <v>0</v>
      </c>
      <c r="G108" s="84"/>
      <c r="H108" s="82"/>
      <c r="I108" s="84"/>
      <c r="J108" s="84"/>
    </row>
    <row r="109" ht="15.75" spans="1:10">
      <c r="A109" s="317">
        <v>46054</v>
      </c>
      <c r="B109" s="81"/>
      <c r="C109" s="318"/>
      <c r="D109" s="81"/>
      <c r="E109" s="81"/>
      <c r="F109" s="81">
        <f t="shared" si="1"/>
        <v>0</v>
      </c>
      <c r="G109" s="84"/>
      <c r="H109" s="82"/>
      <c r="I109" s="84"/>
      <c r="J109" s="84"/>
    </row>
    <row r="110" ht="15.75" spans="1:10">
      <c r="A110" s="317">
        <v>46054</v>
      </c>
      <c r="B110" s="81"/>
      <c r="C110" s="318"/>
      <c r="D110" s="81"/>
      <c r="E110" s="81"/>
      <c r="F110" s="81">
        <f t="shared" si="1"/>
        <v>0</v>
      </c>
      <c r="G110" s="84"/>
      <c r="H110" s="82"/>
      <c r="I110" s="84"/>
      <c r="J110" s="84"/>
    </row>
    <row r="111" ht="15.75" spans="1:10">
      <c r="A111" s="317">
        <v>46054</v>
      </c>
      <c r="B111" s="81"/>
      <c r="C111" s="318"/>
      <c r="D111" s="81"/>
      <c r="E111" s="81"/>
      <c r="F111" s="81">
        <f t="shared" si="1"/>
        <v>0</v>
      </c>
      <c r="G111" s="84"/>
      <c r="H111" s="82"/>
      <c r="I111" s="84"/>
      <c r="J111" s="84"/>
    </row>
    <row r="112" ht="15.75" spans="1:10">
      <c r="A112" s="317">
        <v>46054</v>
      </c>
      <c r="B112" s="81"/>
      <c r="C112" s="318"/>
      <c r="D112" s="81"/>
      <c r="E112" s="81"/>
      <c r="F112" s="81">
        <f t="shared" si="1"/>
        <v>0</v>
      </c>
      <c r="G112" s="84"/>
      <c r="H112" s="82"/>
      <c r="I112" s="84"/>
      <c r="J112" s="84"/>
    </row>
    <row r="113" ht="15.75" spans="1:10">
      <c r="A113" s="317">
        <v>46054</v>
      </c>
      <c r="B113" s="81"/>
      <c r="C113" s="318"/>
      <c r="D113" s="81"/>
      <c r="E113" s="81"/>
      <c r="F113" s="81">
        <f t="shared" si="1"/>
        <v>0</v>
      </c>
      <c r="G113" s="84"/>
      <c r="H113" s="82"/>
      <c r="I113" s="84"/>
      <c r="J113" s="84"/>
    </row>
    <row r="114" ht="15.75" spans="1:10">
      <c r="A114" s="317">
        <v>46054</v>
      </c>
      <c r="B114" s="81"/>
      <c r="C114" s="318"/>
      <c r="D114" s="81"/>
      <c r="E114" s="81"/>
      <c r="F114" s="81">
        <f t="shared" si="1"/>
        <v>0</v>
      </c>
      <c r="G114" s="84"/>
      <c r="H114" s="82"/>
      <c r="I114" s="84"/>
      <c r="J114" s="84"/>
    </row>
    <row r="115" ht="15.75" spans="1:10">
      <c r="A115" s="317">
        <v>46054</v>
      </c>
      <c r="B115" s="81"/>
      <c r="C115" s="318"/>
      <c r="D115" s="81"/>
      <c r="E115" s="81"/>
      <c r="F115" s="81">
        <f t="shared" si="1"/>
        <v>0</v>
      </c>
      <c r="G115" s="84"/>
      <c r="H115" s="82"/>
      <c r="I115" s="84"/>
      <c r="J115" s="84"/>
    </row>
    <row r="116" ht="15.75" spans="1:10">
      <c r="A116" s="317">
        <v>46054</v>
      </c>
      <c r="B116" s="81"/>
      <c r="C116" s="318"/>
      <c r="D116" s="81"/>
      <c r="E116" s="81"/>
      <c r="F116" s="81">
        <f t="shared" si="1"/>
        <v>0</v>
      </c>
      <c r="G116" s="84"/>
      <c r="H116" s="82"/>
      <c r="I116" s="84"/>
      <c r="J116" s="84"/>
    </row>
    <row r="117" ht="15.75" spans="1:10">
      <c r="A117" s="317">
        <v>46054</v>
      </c>
      <c r="B117" s="81"/>
      <c r="C117" s="318"/>
      <c r="D117" s="81"/>
      <c r="E117" s="81"/>
      <c r="F117" s="81">
        <f t="shared" si="1"/>
        <v>0</v>
      </c>
      <c r="G117" s="84"/>
      <c r="H117" s="82"/>
      <c r="I117" s="84"/>
      <c r="J117" s="84"/>
    </row>
    <row r="118" ht="15.75" spans="1:10">
      <c r="A118" s="317">
        <v>46054</v>
      </c>
      <c r="B118" s="81"/>
      <c r="C118" s="318"/>
      <c r="D118" s="81"/>
      <c r="E118" s="81"/>
      <c r="F118" s="81">
        <f t="shared" si="1"/>
        <v>0</v>
      </c>
      <c r="G118" s="84"/>
      <c r="H118" s="82"/>
      <c r="I118" s="84"/>
      <c r="J118" s="84"/>
    </row>
    <row r="119" ht="15.75" spans="1:10">
      <c r="A119" s="317">
        <v>46054</v>
      </c>
      <c r="B119" s="81"/>
      <c r="C119" s="318"/>
      <c r="D119" s="81"/>
      <c r="E119" s="81"/>
      <c r="F119" s="81">
        <f t="shared" si="1"/>
        <v>0</v>
      </c>
      <c r="G119" s="84"/>
      <c r="H119" s="82"/>
      <c r="I119" s="84"/>
      <c r="J119" s="84"/>
    </row>
    <row r="120" ht="15.75" spans="1:10">
      <c r="A120" s="317">
        <v>46054</v>
      </c>
      <c r="B120" s="81"/>
      <c r="C120" s="318"/>
      <c r="D120" s="81"/>
      <c r="E120" s="81"/>
      <c r="F120" s="81">
        <f t="shared" si="1"/>
        <v>0</v>
      </c>
      <c r="G120" s="84"/>
      <c r="H120" s="82"/>
      <c r="I120" s="84"/>
      <c r="J120" s="84"/>
    </row>
    <row r="121" ht="15.75" spans="1:10">
      <c r="A121" s="317">
        <v>46054</v>
      </c>
      <c r="B121" s="81"/>
      <c r="C121" s="318"/>
      <c r="D121" s="81"/>
      <c r="E121" s="81"/>
      <c r="F121" s="81">
        <f t="shared" si="1"/>
        <v>0</v>
      </c>
      <c r="G121" s="84"/>
      <c r="H121" s="82"/>
      <c r="I121" s="84"/>
      <c r="J121" s="84"/>
    </row>
    <row r="122" ht="15.75" spans="1:10">
      <c r="A122" s="317">
        <v>46054</v>
      </c>
      <c r="B122" s="81"/>
      <c r="C122" s="318"/>
      <c r="D122" s="81"/>
      <c r="E122" s="81"/>
      <c r="F122" s="81">
        <f t="shared" si="1"/>
        <v>0</v>
      </c>
      <c r="G122" s="84"/>
      <c r="H122" s="82"/>
      <c r="I122" s="84"/>
      <c r="J122" s="84"/>
    </row>
    <row r="123" ht="15.75" spans="1:10">
      <c r="A123" s="317">
        <v>46054</v>
      </c>
      <c r="B123" s="81"/>
      <c r="C123" s="318"/>
      <c r="D123" s="81"/>
      <c r="E123" s="81"/>
      <c r="F123" s="81">
        <f t="shared" si="1"/>
        <v>0</v>
      </c>
      <c r="G123" s="84"/>
      <c r="H123" s="82"/>
      <c r="I123" s="84"/>
      <c r="J123" s="84"/>
    </row>
    <row r="124" ht="15.75" spans="1:10">
      <c r="A124" s="317">
        <v>46054</v>
      </c>
      <c r="B124" s="81"/>
      <c r="C124" s="318"/>
      <c r="D124" s="81"/>
      <c r="E124" s="81"/>
      <c r="F124" s="81">
        <f t="shared" si="1"/>
        <v>0</v>
      </c>
      <c r="G124" s="84"/>
      <c r="H124" s="82"/>
      <c r="I124" s="84"/>
      <c r="J124" s="84"/>
    </row>
    <row r="125" ht="15.75" spans="1:10">
      <c r="A125" s="317">
        <v>46054</v>
      </c>
      <c r="B125" s="81"/>
      <c r="C125" s="318"/>
      <c r="D125" s="81"/>
      <c r="E125" s="81"/>
      <c r="F125" s="81">
        <f t="shared" si="1"/>
        <v>0</v>
      </c>
      <c r="G125" s="84"/>
      <c r="H125" s="82"/>
      <c r="I125" s="84"/>
      <c r="J125" s="84"/>
    </row>
    <row r="126" ht="15.75" spans="1:10">
      <c r="A126" s="317">
        <v>46054</v>
      </c>
      <c r="B126" s="81"/>
      <c r="C126" s="318"/>
      <c r="D126" s="81"/>
      <c r="E126" s="81"/>
      <c r="F126" s="81">
        <f t="shared" si="1"/>
        <v>0</v>
      </c>
      <c r="G126" s="84"/>
      <c r="H126" s="82"/>
      <c r="I126" s="84"/>
      <c r="J126" s="84"/>
    </row>
    <row r="127" ht="15.75" spans="1:10">
      <c r="A127" s="317">
        <v>46054</v>
      </c>
      <c r="B127" s="81"/>
      <c r="C127" s="318"/>
      <c r="D127" s="81"/>
      <c r="E127" s="81"/>
      <c r="F127" s="81">
        <f t="shared" si="1"/>
        <v>0</v>
      </c>
      <c r="G127" s="84"/>
      <c r="H127" s="82"/>
      <c r="I127" s="84"/>
      <c r="J127" s="84"/>
    </row>
    <row r="128" ht="15.75" spans="1:10">
      <c r="A128" s="317">
        <v>46054</v>
      </c>
      <c r="B128" s="81"/>
      <c r="C128" s="318"/>
      <c r="D128" s="81"/>
      <c r="E128" s="81"/>
      <c r="F128" s="81">
        <f t="shared" si="1"/>
        <v>0</v>
      </c>
      <c r="G128" s="84"/>
      <c r="H128" s="82"/>
      <c r="I128" s="84"/>
      <c r="J128" s="84"/>
    </row>
    <row r="129" ht="15.75" spans="1:10">
      <c r="A129" s="317">
        <v>46054</v>
      </c>
      <c r="B129" s="81"/>
      <c r="C129" s="318"/>
      <c r="D129" s="81"/>
      <c r="E129" s="81"/>
      <c r="F129" s="81">
        <f t="shared" si="1"/>
        <v>0</v>
      </c>
      <c r="G129" s="84"/>
      <c r="H129" s="82"/>
      <c r="I129" s="84"/>
      <c r="J129" s="84"/>
    </row>
    <row r="130" ht="15.75" spans="1:10">
      <c r="A130" s="317">
        <v>46054</v>
      </c>
      <c r="B130" s="81"/>
      <c r="C130" s="318"/>
      <c r="D130" s="81"/>
      <c r="E130" s="81"/>
      <c r="F130" s="81">
        <f t="shared" si="1"/>
        <v>0</v>
      </c>
      <c r="G130" s="84"/>
      <c r="H130" s="82"/>
      <c r="I130" s="84"/>
      <c r="J130" s="84"/>
    </row>
    <row r="131" ht="15.75" spans="1:10">
      <c r="A131" s="317">
        <v>46054</v>
      </c>
      <c r="B131" s="81"/>
      <c r="C131" s="318"/>
      <c r="D131" s="81"/>
      <c r="E131" s="81"/>
      <c r="F131" s="81">
        <f t="shared" si="1"/>
        <v>0</v>
      </c>
      <c r="G131" s="84"/>
      <c r="H131" s="82"/>
      <c r="I131" s="84"/>
      <c r="J131" s="84"/>
    </row>
    <row r="132" ht="15.75" spans="1:10">
      <c r="A132" s="317">
        <v>46054</v>
      </c>
      <c r="B132" s="81"/>
      <c r="C132" s="318"/>
      <c r="D132" s="81"/>
      <c r="E132" s="81"/>
      <c r="F132" s="81">
        <f t="shared" si="1"/>
        <v>0</v>
      </c>
      <c r="G132" s="84"/>
      <c r="H132" s="82"/>
      <c r="I132" s="84"/>
      <c r="J132" s="84"/>
    </row>
    <row r="133" ht="15.75" spans="1:10">
      <c r="A133" s="317">
        <v>46054</v>
      </c>
      <c r="B133" s="81"/>
      <c r="C133" s="318"/>
      <c r="D133" s="81"/>
      <c r="E133" s="81"/>
      <c r="F133" s="81">
        <f t="shared" si="1"/>
        <v>0</v>
      </c>
      <c r="G133" s="84"/>
      <c r="H133" s="82"/>
      <c r="I133" s="84"/>
      <c r="J133" s="84"/>
    </row>
    <row r="134" ht="15.75" spans="1:10">
      <c r="A134" s="317">
        <v>46054</v>
      </c>
      <c r="B134" s="81"/>
      <c r="C134" s="318"/>
      <c r="D134" s="81"/>
      <c r="E134" s="81"/>
      <c r="F134" s="81">
        <f t="shared" ref="F134:F162" si="2">F133+D134-E134</f>
        <v>0</v>
      </c>
      <c r="G134" s="84"/>
      <c r="H134" s="82"/>
      <c r="I134" s="84"/>
      <c r="J134" s="84"/>
    </row>
    <row r="135" ht="15.75" spans="1:10">
      <c r="A135" s="317">
        <v>46054</v>
      </c>
      <c r="B135" s="81"/>
      <c r="C135" s="318"/>
      <c r="D135" s="81"/>
      <c r="E135" s="81"/>
      <c r="F135" s="81">
        <f t="shared" si="2"/>
        <v>0</v>
      </c>
      <c r="G135" s="84"/>
      <c r="H135" s="82"/>
      <c r="I135" s="84"/>
      <c r="J135" s="84"/>
    </row>
    <row r="136" ht="15.75" spans="1:10">
      <c r="A136" s="317">
        <v>46054</v>
      </c>
      <c r="B136" s="81"/>
      <c r="C136" s="318"/>
      <c r="D136" s="81"/>
      <c r="E136" s="81"/>
      <c r="F136" s="81">
        <f t="shared" si="2"/>
        <v>0</v>
      </c>
      <c r="G136" s="84"/>
      <c r="H136" s="82"/>
      <c r="I136" s="84"/>
      <c r="J136" s="84"/>
    </row>
    <row r="137" ht="15.75" spans="1:10">
      <c r="A137" s="317">
        <v>46054</v>
      </c>
      <c r="B137" s="81"/>
      <c r="C137" s="318"/>
      <c r="D137" s="81"/>
      <c r="E137" s="81"/>
      <c r="F137" s="81">
        <f t="shared" si="2"/>
        <v>0</v>
      </c>
      <c r="G137" s="84"/>
      <c r="H137" s="82"/>
      <c r="I137" s="84"/>
      <c r="J137" s="84"/>
    </row>
    <row r="138" ht="15.75" spans="1:10">
      <c r="A138" s="317">
        <v>46054</v>
      </c>
      <c r="B138" s="81"/>
      <c r="C138" s="318"/>
      <c r="D138" s="81"/>
      <c r="E138" s="81"/>
      <c r="F138" s="81">
        <f t="shared" si="2"/>
        <v>0</v>
      </c>
      <c r="G138" s="84"/>
      <c r="H138" s="82"/>
      <c r="I138" s="84"/>
      <c r="J138" s="84"/>
    </row>
    <row r="139" ht="15.75" spans="1:10">
      <c r="A139" s="317">
        <v>46054</v>
      </c>
      <c r="B139" s="81"/>
      <c r="C139" s="318"/>
      <c r="D139" s="81"/>
      <c r="E139" s="81"/>
      <c r="F139" s="81">
        <f t="shared" si="2"/>
        <v>0</v>
      </c>
      <c r="G139" s="84"/>
      <c r="H139" s="82"/>
      <c r="I139" s="84"/>
      <c r="J139" s="84"/>
    </row>
    <row r="140" ht="15.75" spans="1:10">
      <c r="A140" s="317">
        <v>46054</v>
      </c>
      <c r="B140" s="81"/>
      <c r="C140" s="318"/>
      <c r="D140" s="81"/>
      <c r="E140" s="81"/>
      <c r="F140" s="81">
        <f t="shared" si="2"/>
        <v>0</v>
      </c>
      <c r="G140" s="84"/>
      <c r="H140" s="82"/>
      <c r="I140" s="84"/>
      <c r="J140" s="84"/>
    </row>
    <row r="141" ht="15.75" spans="1:10">
      <c r="A141" s="317">
        <v>46054</v>
      </c>
      <c r="B141" s="81"/>
      <c r="C141" s="318"/>
      <c r="D141" s="81"/>
      <c r="E141" s="81"/>
      <c r="F141" s="81">
        <f t="shared" si="2"/>
        <v>0</v>
      </c>
      <c r="G141" s="84"/>
      <c r="H141" s="82"/>
      <c r="I141" s="84"/>
      <c r="J141" s="84"/>
    </row>
    <row r="142" ht="15.75" spans="1:10">
      <c r="A142" s="317">
        <v>46054</v>
      </c>
      <c r="B142" s="81"/>
      <c r="C142" s="318"/>
      <c r="D142" s="81"/>
      <c r="E142" s="81"/>
      <c r="F142" s="81">
        <f t="shared" si="2"/>
        <v>0</v>
      </c>
      <c r="G142" s="84"/>
      <c r="H142" s="82"/>
      <c r="I142" s="84"/>
      <c r="J142" s="84"/>
    </row>
    <row r="143" ht="15.75" spans="1:10">
      <c r="A143" s="317">
        <v>46054</v>
      </c>
      <c r="B143" s="81"/>
      <c r="C143" s="318"/>
      <c r="D143" s="81"/>
      <c r="E143" s="81"/>
      <c r="F143" s="81">
        <f t="shared" si="2"/>
        <v>0</v>
      </c>
      <c r="G143" s="84"/>
      <c r="H143" s="82"/>
      <c r="I143" s="84"/>
      <c r="J143" s="84"/>
    </row>
    <row r="144" ht="15.75" spans="1:10">
      <c r="A144" s="317">
        <v>46054</v>
      </c>
      <c r="B144" s="81"/>
      <c r="C144" s="318"/>
      <c r="D144" s="81"/>
      <c r="E144" s="81"/>
      <c r="F144" s="81">
        <f t="shared" si="2"/>
        <v>0</v>
      </c>
      <c r="G144" s="84"/>
      <c r="H144" s="82"/>
      <c r="I144" s="84"/>
      <c r="J144" s="84"/>
    </row>
    <row r="145" ht="15.75" spans="1:10">
      <c r="A145" s="317">
        <v>46054</v>
      </c>
      <c r="B145" s="81"/>
      <c r="C145" s="318"/>
      <c r="D145" s="81"/>
      <c r="E145" s="81"/>
      <c r="F145" s="81">
        <f t="shared" si="2"/>
        <v>0</v>
      </c>
      <c r="G145" s="84"/>
      <c r="H145" s="82"/>
      <c r="I145" s="84"/>
      <c r="J145" s="84"/>
    </row>
    <row r="146" ht="15.75" spans="1:10">
      <c r="A146" s="317">
        <v>46054</v>
      </c>
      <c r="B146" s="81"/>
      <c r="C146" s="318"/>
      <c r="D146" s="81"/>
      <c r="E146" s="81"/>
      <c r="F146" s="81">
        <f t="shared" si="2"/>
        <v>0</v>
      </c>
      <c r="G146" s="84"/>
      <c r="H146" s="82"/>
      <c r="I146" s="84"/>
      <c r="J146" s="84"/>
    </row>
    <row r="147" ht="15.75" spans="1:10">
      <c r="A147" s="317">
        <v>46054</v>
      </c>
      <c r="B147" s="81"/>
      <c r="C147" s="318"/>
      <c r="D147" s="81"/>
      <c r="E147" s="81"/>
      <c r="F147" s="81">
        <f t="shared" si="2"/>
        <v>0</v>
      </c>
      <c r="G147" s="84"/>
      <c r="H147" s="82"/>
      <c r="I147" s="84"/>
      <c r="J147" s="84"/>
    </row>
    <row r="148" ht="15.75" spans="1:10">
      <c r="A148" s="317">
        <v>46054</v>
      </c>
      <c r="B148" s="81"/>
      <c r="C148" s="318"/>
      <c r="D148" s="81"/>
      <c r="E148" s="81"/>
      <c r="F148" s="81">
        <f t="shared" si="2"/>
        <v>0</v>
      </c>
      <c r="G148" s="84"/>
      <c r="H148" s="82"/>
      <c r="I148" s="84"/>
      <c r="J148" s="84"/>
    </row>
    <row r="149" ht="15.75" spans="1:10">
      <c r="A149" s="317">
        <v>46054</v>
      </c>
      <c r="B149" s="81"/>
      <c r="C149" s="318"/>
      <c r="D149" s="81"/>
      <c r="E149" s="81"/>
      <c r="F149" s="81">
        <f t="shared" si="2"/>
        <v>0</v>
      </c>
      <c r="G149" s="84"/>
      <c r="H149" s="82"/>
      <c r="I149" s="84"/>
      <c r="J149" s="84"/>
    </row>
    <row r="150" ht="15.75" spans="1:10">
      <c r="A150" s="317">
        <v>46054</v>
      </c>
      <c r="B150" s="81"/>
      <c r="C150" s="318"/>
      <c r="D150" s="81"/>
      <c r="E150" s="81"/>
      <c r="F150" s="81">
        <f t="shared" si="2"/>
        <v>0</v>
      </c>
      <c r="G150" s="84"/>
      <c r="H150" s="82"/>
      <c r="I150" s="84"/>
      <c r="J150" s="84"/>
    </row>
    <row r="151" ht="15.75" spans="1:10">
      <c r="A151" s="317">
        <v>46054</v>
      </c>
      <c r="B151" s="81"/>
      <c r="C151" s="318"/>
      <c r="D151" s="81"/>
      <c r="E151" s="81"/>
      <c r="F151" s="81">
        <f t="shared" si="2"/>
        <v>0</v>
      </c>
      <c r="G151" s="84"/>
      <c r="H151" s="82"/>
      <c r="I151" s="84"/>
      <c r="J151" s="84"/>
    </row>
    <row r="152" ht="15.75" spans="1:10">
      <c r="A152" s="317">
        <v>46054</v>
      </c>
      <c r="B152" s="81"/>
      <c r="C152" s="318"/>
      <c r="D152" s="81"/>
      <c r="E152" s="81"/>
      <c r="F152" s="81">
        <f t="shared" si="2"/>
        <v>0</v>
      </c>
      <c r="G152" s="84"/>
      <c r="H152" s="82"/>
      <c r="I152" s="84"/>
      <c r="J152" s="84"/>
    </row>
    <row r="153" ht="15.75" spans="1:10">
      <c r="A153" s="317">
        <v>46054</v>
      </c>
      <c r="B153" s="81"/>
      <c r="C153" s="318"/>
      <c r="D153" s="81"/>
      <c r="E153" s="81"/>
      <c r="F153" s="81">
        <f t="shared" si="2"/>
        <v>0</v>
      </c>
      <c r="G153" s="84"/>
      <c r="H153" s="82"/>
      <c r="I153" s="84"/>
      <c r="J153" s="84"/>
    </row>
    <row r="154" ht="15.75" spans="1:10">
      <c r="A154" s="317">
        <v>46054</v>
      </c>
      <c r="B154" s="81"/>
      <c r="C154" s="318"/>
      <c r="D154" s="81"/>
      <c r="E154" s="81"/>
      <c r="F154" s="81">
        <f t="shared" si="2"/>
        <v>0</v>
      </c>
      <c r="G154" s="84"/>
      <c r="H154" s="82"/>
      <c r="I154" s="84"/>
      <c r="J154" s="84"/>
    </row>
    <row r="155" ht="15.75" spans="1:10">
      <c r="A155" s="317">
        <v>46054</v>
      </c>
      <c r="B155" s="81"/>
      <c r="C155" s="318"/>
      <c r="D155" s="81"/>
      <c r="E155" s="81"/>
      <c r="F155" s="81">
        <f t="shared" si="2"/>
        <v>0</v>
      </c>
      <c r="G155" s="84"/>
      <c r="H155" s="82"/>
      <c r="I155" s="84"/>
      <c r="J155" s="84"/>
    </row>
    <row r="156" ht="15.75" spans="1:10">
      <c r="A156" s="317">
        <v>46054</v>
      </c>
      <c r="B156" s="81"/>
      <c r="C156" s="318"/>
      <c r="D156" s="81"/>
      <c r="E156" s="81"/>
      <c r="F156" s="81">
        <f t="shared" si="2"/>
        <v>0</v>
      </c>
      <c r="G156" s="84"/>
      <c r="H156" s="82"/>
      <c r="I156" s="84"/>
      <c r="J156" s="84"/>
    </row>
    <row r="157" ht="15.75" spans="1:10">
      <c r="A157" s="317">
        <v>46054</v>
      </c>
      <c r="B157" s="81"/>
      <c r="C157" s="318"/>
      <c r="D157" s="81"/>
      <c r="E157" s="81"/>
      <c r="F157" s="81">
        <f t="shared" si="2"/>
        <v>0</v>
      </c>
      <c r="G157" s="84"/>
      <c r="H157" s="82"/>
      <c r="I157" s="84"/>
      <c r="J157" s="84"/>
    </row>
    <row r="158" ht="15.75" spans="1:10">
      <c r="A158" s="317">
        <v>46054</v>
      </c>
      <c r="B158" s="81"/>
      <c r="C158" s="318"/>
      <c r="D158" s="81"/>
      <c r="E158" s="81"/>
      <c r="F158" s="81">
        <f t="shared" si="2"/>
        <v>0</v>
      </c>
      <c r="G158" s="84"/>
      <c r="H158" s="82"/>
      <c r="I158" s="84"/>
      <c r="J158" s="84"/>
    </row>
    <row r="159" ht="15.75" spans="1:10">
      <c r="A159" s="317">
        <v>46054</v>
      </c>
      <c r="B159" s="81"/>
      <c r="C159" s="318"/>
      <c r="D159" s="81"/>
      <c r="E159" s="81"/>
      <c r="F159" s="81">
        <f t="shared" si="2"/>
        <v>0</v>
      </c>
      <c r="G159" s="84"/>
      <c r="H159" s="82"/>
      <c r="I159" s="84"/>
      <c r="J159" s="84"/>
    </row>
    <row r="160" ht="15.75" spans="1:10">
      <c r="A160" s="317">
        <v>46054</v>
      </c>
      <c r="B160" s="81"/>
      <c r="C160" s="318"/>
      <c r="D160" s="81"/>
      <c r="F160" s="81">
        <f t="shared" si="2"/>
        <v>0</v>
      </c>
      <c r="H160" s="82"/>
      <c r="I160" s="84"/>
      <c r="J160" s="84"/>
    </row>
    <row r="161" ht="15.75" spans="1:10">
      <c r="A161" s="317">
        <v>46054</v>
      </c>
      <c r="B161" s="81"/>
      <c r="C161" s="318"/>
      <c r="D161" s="81"/>
      <c r="F161" s="81">
        <f t="shared" si="2"/>
        <v>0</v>
      </c>
      <c r="H161" s="82"/>
      <c r="I161" s="84"/>
      <c r="J161" s="84"/>
    </row>
    <row r="162" ht="15.75" spans="1:10">
      <c r="A162" s="317">
        <v>46054</v>
      </c>
      <c r="B162" s="81"/>
      <c r="C162" s="318"/>
      <c r="D162" s="81"/>
      <c r="F162" s="81">
        <f t="shared" si="2"/>
        <v>0</v>
      </c>
      <c r="H162" s="82"/>
      <c r="I162" s="84"/>
      <c r="J162" s="84"/>
    </row>
    <row r="163" ht="13.5" spans="1:10">
      <c r="A163" s="317"/>
      <c r="B163" s="81"/>
      <c r="C163" s="318"/>
      <c r="D163" s="81"/>
      <c r="J163" s="84"/>
    </row>
    <row r="164" ht="13.5" spans="1:10">
      <c r="C164" s="318"/>
    </row>
  </sheetData>
  <autoFilter xmlns:etc="http://www.wps.cn/officeDocument/2017/etCustomData" ref="A2:Q163" etc:filterBottomFollowUsedRange="0">
    <extLst/>
  </autoFilter>
  <mergeCells count="2">
    <mergeCell ref="A1:J1"/>
    <mergeCell ref="G80:G81"/>
  </mergeCells>
  <dataValidations count="3">
    <dataValidation type="list" allowBlank="1" showInputMessage="1" showErrorMessage="1" sqref="H3">
      <formula1>$N$2:$N$160</formula1>
    </dataValidation>
    <dataValidation type="list" allowBlank="1" showInputMessage="1" showErrorMessage="1" sqref="H4:H162">
      <formula1>$N$3:$N$74</formula1>
    </dataValidation>
    <dataValidation type="list" allowBlank="1" showInputMessage="1" showErrorMessage="1" sqref="I4:I162">
      <formula1>$Q$3:$Q$24</formula1>
    </dataValidation>
  </dataValidations>
  <pageMargins left="0.697916666666667" right="0.69791666666666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2"/>
  <sheetViews>
    <sheetView topLeftCell="A208" workbookViewId="0">
      <selection activeCell="A217" sqref="A217"/>
    </sheetView>
  </sheetViews>
  <sheetFormatPr defaultColWidth="9.14285714285714" defaultRowHeight="12.35"/>
  <cols>
    <col min="1" max="1" width="24.5714285714286" customWidth="1"/>
    <col min="2" max="2" width="9.85714285714286"/>
    <col min="3" max="3" width="11" customWidth="1"/>
    <col min="4" max="4" width="13.2857142857143" customWidth="1"/>
    <col min="5" max="5" width="14.8571428571429" customWidth="1"/>
    <col min="6" max="6" width="17.4285714285714" customWidth="1"/>
    <col min="7" max="7" width="11"/>
    <col min="8" max="8" width="14.1428571428571" customWidth="1"/>
    <col min="9" max="9" width="13.4285714285714"/>
    <col min="11" max="11" width="14.4285714285714" customWidth="1"/>
    <col min="12" max="12" width="13.1428571428571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118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 t="s">
        <v>132</v>
      </c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/>
      <c r="E6" s="286"/>
      <c r="F6" s="286">
        <f>D6*E6</f>
        <v>0</v>
      </c>
      <c r="G6" s="285">
        <v>0</v>
      </c>
      <c r="H6" s="298"/>
      <c r="I6" s="286">
        <f>IF(F6=0,G6*H6,0)</f>
        <v>0</v>
      </c>
      <c r="J6" s="285">
        <f>D6-G6+J5</f>
        <v>0</v>
      </c>
      <c r="K6" s="298">
        <f t="shared" ref="K6:K8" si="0">IF(J6=0,0,L6/J6)</f>
        <v>0</v>
      </c>
      <c r="L6" s="286">
        <f t="shared" ref="L6:L8" si="1">IF(F6=0,L5-I6,L5+F6)</f>
        <v>0</v>
      </c>
    </row>
    <row r="7" spans="1:12">
      <c r="A7" s="284"/>
      <c r="B7" s="285"/>
      <c r="C7" s="286"/>
      <c r="D7" s="285">
        <v>0</v>
      </c>
      <c r="E7" s="286">
        <v>0</v>
      </c>
      <c r="F7" s="286">
        <f t="shared" ref="F7:F20" si="2">D7*E7</f>
        <v>0</v>
      </c>
      <c r="G7" s="285"/>
      <c r="H7" s="298">
        <f>K6</f>
        <v>0</v>
      </c>
      <c r="I7" s="286">
        <f>IF(F7=0,G7*H7,0)</f>
        <v>0</v>
      </c>
      <c r="J7" s="285">
        <f t="shared" ref="J7:J20" si="3">D7-G7+J6</f>
        <v>0</v>
      </c>
      <c r="K7" s="298">
        <f t="shared" si="0"/>
        <v>0</v>
      </c>
      <c r="L7" s="286">
        <f t="shared" si="1"/>
        <v>0</v>
      </c>
    </row>
    <row r="8" spans="1:12">
      <c r="A8" s="284"/>
      <c r="B8" s="285"/>
      <c r="C8" s="286"/>
      <c r="D8" s="285">
        <v>20</v>
      </c>
      <c r="E8" s="286">
        <v>20.56</v>
      </c>
      <c r="F8" s="286">
        <f t="shared" si="2"/>
        <v>411.2</v>
      </c>
      <c r="G8" s="285">
        <v>0</v>
      </c>
      <c r="H8" s="298">
        <f t="shared" ref="H8:H20" si="4">K7</f>
        <v>0</v>
      </c>
      <c r="I8" s="286">
        <f t="shared" ref="I8:I20" si="5">IF(F8=0,G8*H8,0)</f>
        <v>0</v>
      </c>
      <c r="J8" s="285">
        <f t="shared" si="3"/>
        <v>20</v>
      </c>
      <c r="K8" s="298">
        <f t="shared" si="0"/>
        <v>20.56</v>
      </c>
      <c r="L8" s="286">
        <f t="shared" si="1"/>
        <v>411.2</v>
      </c>
    </row>
    <row r="9" spans="1:12">
      <c r="A9" s="284"/>
      <c r="B9" s="285"/>
      <c r="C9" s="286"/>
      <c r="D9" s="285">
        <v>20</v>
      </c>
      <c r="E9" s="286">
        <v>20.56</v>
      </c>
      <c r="F9" s="286">
        <f t="shared" ref="F9" si="6">D9*E9</f>
        <v>411.2</v>
      </c>
      <c r="G9" s="285">
        <v>0</v>
      </c>
      <c r="H9" s="298">
        <f t="shared" ref="H9" si="7">K8</f>
        <v>20.56</v>
      </c>
      <c r="I9" s="286">
        <f t="shared" ref="I9" si="8">IF(F9=0,G9*H9,0)</f>
        <v>0</v>
      </c>
      <c r="J9" s="285">
        <f t="shared" ref="J9" si="9">D9-G9+J8</f>
        <v>40</v>
      </c>
      <c r="K9" s="298">
        <f t="shared" ref="K9" si="10">IF(J9=0,0,L9/J9)</f>
        <v>20.56</v>
      </c>
      <c r="L9" s="286">
        <f t="shared" ref="L9" si="11">IF(F9=0,L8-I9,L8+F9)</f>
        <v>822.4</v>
      </c>
    </row>
    <row r="10" spans="1:12">
      <c r="A10" s="284"/>
      <c r="B10" s="285"/>
      <c r="C10" s="286"/>
      <c r="D10" s="285">
        <v>20</v>
      </c>
      <c r="E10" s="286">
        <v>20.56</v>
      </c>
      <c r="F10" s="286">
        <f t="shared" ref="F10" si="12">D10*E10</f>
        <v>411.2</v>
      </c>
      <c r="G10" s="285">
        <v>0</v>
      </c>
      <c r="H10" s="298">
        <f t="shared" ref="H10" si="13">K9</f>
        <v>20.56</v>
      </c>
      <c r="I10" s="286">
        <f t="shared" ref="I10" si="14">IF(F10=0,G10*H10,0)</f>
        <v>0</v>
      </c>
      <c r="J10" s="285">
        <f t="shared" ref="J10" si="15">D10-G10+J9</f>
        <v>60</v>
      </c>
      <c r="K10" s="298">
        <f t="shared" ref="K10" si="16">IF(J10=0,0,L10/J10)</f>
        <v>20.56</v>
      </c>
      <c r="L10" s="286">
        <f t="shared" ref="L10" si="17">IF(F10=0,L9-I10,L9+F10)</f>
        <v>1233.6</v>
      </c>
    </row>
    <row r="11" spans="1:12">
      <c r="A11" s="284"/>
      <c r="B11" s="285"/>
      <c r="C11" s="286"/>
      <c r="D11" s="285">
        <v>0</v>
      </c>
      <c r="E11" s="286"/>
      <c r="F11" s="286">
        <f t="shared" ref="F11" si="18">D11*E11</f>
        <v>0</v>
      </c>
      <c r="G11" s="285">
        <v>0</v>
      </c>
      <c r="H11" s="298">
        <f t="shared" ref="H11" si="19">K10</f>
        <v>20.56</v>
      </c>
      <c r="I11" s="286">
        <f t="shared" ref="I11" si="20">IF(F11=0,G11*H11,0)</f>
        <v>0</v>
      </c>
      <c r="J11" s="285">
        <f t="shared" ref="J11" si="21">D11-G11+J10</f>
        <v>60</v>
      </c>
      <c r="K11" s="298">
        <f t="shared" ref="K11" si="22">IF(J11=0,0,L11/J11)</f>
        <v>20.56</v>
      </c>
      <c r="L11" s="286">
        <f t="shared" ref="L11" si="23">IF(F11=0,L10-I11,L10+F11)</f>
        <v>1233.6</v>
      </c>
    </row>
    <row r="12" spans="1:12">
      <c r="A12" s="284"/>
      <c r="B12" s="285"/>
      <c r="C12" s="286"/>
      <c r="D12" s="285">
        <v>0</v>
      </c>
      <c r="E12" s="286"/>
      <c r="F12" s="286">
        <f t="shared" si="2"/>
        <v>0</v>
      </c>
      <c r="G12" s="285">
        <v>0</v>
      </c>
      <c r="H12" s="298">
        <f>K8</f>
        <v>20.56</v>
      </c>
      <c r="I12" s="286">
        <f t="shared" si="5"/>
        <v>0</v>
      </c>
      <c r="J12" s="285">
        <f>D12-G12+J8</f>
        <v>20</v>
      </c>
      <c r="K12" s="298">
        <f t="shared" ref="K12:K20" si="24">IF(J12=0,0,L12/J12)</f>
        <v>20.56</v>
      </c>
      <c r="L12" s="286">
        <f>IF(F12=0,L8-I12,L8+F12)</f>
        <v>411.2</v>
      </c>
    </row>
    <row r="13" spans="1:12">
      <c r="A13" s="284"/>
      <c r="B13" s="285"/>
      <c r="C13" s="286"/>
      <c r="D13" s="285">
        <v>0</v>
      </c>
      <c r="E13" s="286"/>
      <c r="F13" s="286">
        <f t="shared" si="2"/>
        <v>0</v>
      </c>
      <c r="G13" s="285">
        <v>0</v>
      </c>
      <c r="H13" s="298">
        <f t="shared" si="4"/>
        <v>20.56</v>
      </c>
      <c r="I13" s="286">
        <f t="shared" si="5"/>
        <v>0</v>
      </c>
      <c r="J13" s="285">
        <f t="shared" si="3"/>
        <v>20</v>
      </c>
      <c r="K13" s="298">
        <f t="shared" si="24"/>
        <v>20.56</v>
      </c>
      <c r="L13" s="286">
        <f t="shared" ref="L13:L20" si="25">IF(F13=0,L12-I13,L12+F13)</f>
        <v>411.2</v>
      </c>
    </row>
    <row r="14" spans="1:12">
      <c r="A14" s="284"/>
      <c r="B14" s="285"/>
      <c r="C14" s="286"/>
      <c r="D14" s="285">
        <v>0</v>
      </c>
      <c r="E14" s="286"/>
      <c r="F14" s="286">
        <f t="shared" si="2"/>
        <v>0</v>
      </c>
      <c r="G14" s="285">
        <v>0</v>
      </c>
      <c r="H14" s="298">
        <f t="shared" si="4"/>
        <v>20.56</v>
      </c>
      <c r="I14" s="286">
        <f t="shared" si="5"/>
        <v>0</v>
      </c>
      <c r="J14" s="285">
        <f t="shared" si="3"/>
        <v>20</v>
      </c>
      <c r="K14" s="298">
        <f t="shared" si="24"/>
        <v>20.56</v>
      </c>
      <c r="L14" s="286">
        <f t="shared" si="25"/>
        <v>411.2</v>
      </c>
    </row>
    <row r="15" spans="1:12">
      <c r="A15" s="284"/>
      <c r="B15" s="285"/>
      <c r="C15" s="286"/>
      <c r="D15" s="285">
        <v>0</v>
      </c>
      <c r="E15" s="286"/>
      <c r="F15" s="286">
        <f t="shared" si="2"/>
        <v>0</v>
      </c>
      <c r="G15" s="285">
        <v>0</v>
      </c>
      <c r="H15" s="298">
        <f t="shared" si="4"/>
        <v>20.56</v>
      </c>
      <c r="I15" s="286">
        <f t="shared" si="5"/>
        <v>0</v>
      </c>
      <c r="J15" s="285">
        <f t="shared" si="3"/>
        <v>20</v>
      </c>
      <c r="K15" s="298">
        <f t="shared" si="24"/>
        <v>20.56</v>
      </c>
      <c r="L15" s="286">
        <f t="shared" si="25"/>
        <v>411.2</v>
      </c>
    </row>
    <row r="16" spans="1:12">
      <c r="A16" s="284"/>
      <c r="B16" s="285"/>
      <c r="C16" s="286"/>
      <c r="D16" s="285">
        <v>0</v>
      </c>
      <c r="E16" s="286"/>
      <c r="F16" s="286">
        <f t="shared" si="2"/>
        <v>0</v>
      </c>
      <c r="G16" s="285">
        <v>0</v>
      </c>
      <c r="H16" s="298">
        <f t="shared" si="4"/>
        <v>20.56</v>
      </c>
      <c r="I16" s="286">
        <f t="shared" si="5"/>
        <v>0</v>
      </c>
      <c r="J16" s="285">
        <f t="shared" si="3"/>
        <v>20</v>
      </c>
      <c r="K16" s="298">
        <f t="shared" si="24"/>
        <v>20.56</v>
      </c>
      <c r="L16" s="286">
        <f t="shared" si="25"/>
        <v>411.2</v>
      </c>
    </row>
    <row r="17" spans="1:12">
      <c r="A17" s="284"/>
      <c r="B17" s="285"/>
      <c r="C17" s="286"/>
      <c r="D17" s="285">
        <v>0</v>
      </c>
      <c r="E17" s="286"/>
      <c r="F17" s="286">
        <f t="shared" si="2"/>
        <v>0</v>
      </c>
      <c r="G17" s="285">
        <v>0</v>
      </c>
      <c r="H17" s="298">
        <f t="shared" si="4"/>
        <v>20.56</v>
      </c>
      <c r="I17" s="286">
        <f t="shared" si="5"/>
        <v>0</v>
      </c>
      <c r="J17" s="285">
        <f t="shared" si="3"/>
        <v>20</v>
      </c>
      <c r="K17" s="298">
        <f t="shared" si="24"/>
        <v>20.56</v>
      </c>
      <c r="L17" s="286">
        <f t="shared" si="25"/>
        <v>411.2</v>
      </c>
    </row>
    <row r="18" spans="1:12">
      <c r="A18" s="299"/>
      <c r="B18" s="285"/>
      <c r="C18" s="286"/>
      <c r="D18" s="285">
        <v>0</v>
      </c>
      <c r="E18" s="286"/>
      <c r="F18" s="286">
        <f t="shared" si="2"/>
        <v>0</v>
      </c>
      <c r="G18" s="285">
        <v>0</v>
      </c>
      <c r="H18" s="298">
        <f t="shared" si="4"/>
        <v>20.56</v>
      </c>
      <c r="I18" s="286">
        <f t="shared" si="5"/>
        <v>0</v>
      </c>
      <c r="J18" s="285">
        <f t="shared" si="3"/>
        <v>20</v>
      </c>
      <c r="K18" s="298">
        <f t="shared" si="24"/>
        <v>20.56</v>
      </c>
      <c r="L18" s="286">
        <f t="shared" si="25"/>
        <v>411.2</v>
      </c>
    </row>
    <row r="19" spans="1:12">
      <c r="A19" s="284"/>
      <c r="B19" s="285"/>
      <c r="C19" s="286"/>
      <c r="D19" s="285">
        <v>0</v>
      </c>
      <c r="E19" s="286"/>
      <c r="F19" s="286">
        <f t="shared" si="2"/>
        <v>0</v>
      </c>
      <c r="G19" s="285">
        <v>0</v>
      </c>
      <c r="H19" s="298">
        <f t="shared" si="4"/>
        <v>20.56</v>
      </c>
      <c r="I19" s="286">
        <f t="shared" si="5"/>
        <v>0</v>
      </c>
      <c r="J19" s="285">
        <f t="shared" si="3"/>
        <v>20</v>
      </c>
      <c r="K19" s="298">
        <f t="shared" si="24"/>
        <v>20.56</v>
      </c>
      <c r="L19" s="286">
        <f t="shared" si="25"/>
        <v>411.2</v>
      </c>
    </row>
    <row r="20" spans="1:12">
      <c r="A20" s="284"/>
      <c r="B20" s="285"/>
      <c r="C20" s="286"/>
      <c r="D20" s="285">
        <v>0</v>
      </c>
      <c r="E20" s="286"/>
      <c r="F20" s="286">
        <f t="shared" si="2"/>
        <v>0</v>
      </c>
      <c r="G20" s="285">
        <v>0</v>
      </c>
      <c r="H20" s="298">
        <f t="shared" si="4"/>
        <v>20.56</v>
      </c>
      <c r="I20" s="286">
        <f t="shared" si="5"/>
        <v>0</v>
      </c>
      <c r="J20" s="285">
        <f t="shared" si="3"/>
        <v>20</v>
      </c>
      <c r="K20" s="298">
        <f t="shared" si="24"/>
        <v>20.56</v>
      </c>
      <c r="L20" s="286">
        <f t="shared" si="25"/>
        <v>411.2</v>
      </c>
    </row>
    <row r="21" ht="13.5" spans="1:12">
      <c r="A21" s="284"/>
      <c r="B21" s="285"/>
      <c r="C21" s="286"/>
      <c r="D21" s="285"/>
      <c r="E21" s="286"/>
      <c r="F21" s="300" t="s">
        <v>133</v>
      </c>
      <c r="G21" s="301">
        <f>SUM(F6:F20)</f>
        <v>1233.6</v>
      </c>
      <c r="H21" s="300" t="s">
        <v>134</v>
      </c>
      <c r="I21" s="302">
        <f>SUM(I6:I19)</f>
        <v>0</v>
      </c>
      <c r="J21" s="285"/>
      <c r="K21" s="300" t="s">
        <v>131</v>
      </c>
      <c r="L21" s="286">
        <f>L20</f>
        <v>411.2</v>
      </c>
    </row>
    <row r="22" spans="1:12">
      <c r="A22" s="303"/>
      <c r="B22" s="285"/>
      <c r="C22" s="286"/>
      <c r="D22" s="285"/>
      <c r="E22" s="286"/>
      <c r="F22" s="286"/>
      <c r="G22" s="285"/>
      <c r="H22" s="286"/>
      <c r="I22" s="286"/>
      <c r="J22" s="301"/>
      <c r="K22" s="286"/>
    </row>
    <row r="23" ht="15.75" spans="1:12">
      <c r="A23" s="283" t="s">
        <v>116</v>
      </c>
      <c r="B23" s="283"/>
      <c r="C23" s="283"/>
      <c r="D23" s="283"/>
      <c r="E23" s="283"/>
      <c r="F23" s="283"/>
      <c r="G23" s="283"/>
      <c r="H23" s="283"/>
      <c r="I23" s="283"/>
      <c r="J23" s="283"/>
      <c r="K23" s="283"/>
    </row>
    <row r="24" ht="12.75" spans="1:12">
      <c r="A24" s="284" t="s">
        <v>117</v>
      </c>
      <c r="B24" s="285"/>
      <c r="C24" s="286"/>
      <c r="D24" s="285"/>
      <c r="E24" s="286"/>
      <c r="F24" s="286"/>
      <c r="G24" s="285"/>
      <c r="H24" s="286"/>
      <c r="I24" s="287" t="s">
        <v>135</v>
      </c>
      <c r="J24" s="288"/>
      <c r="K24" s="288"/>
    </row>
    <row r="25" ht="13.5" spans="1:12">
      <c r="A25" s="289" t="s">
        <v>119</v>
      </c>
      <c r="B25" s="290" t="s">
        <v>120</v>
      </c>
      <c r="C25" s="290"/>
      <c r="D25" s="291" t="s">
        <v>121</v>
      </c>
      <c r="E25" s="291"/>
      <c r="F25" s="291"/>
      <c r="G25" s="292" t="s">
        <v>122</v>
      </c>
      <c r="H25" s="292"/>
      <c r="I25" s="292"/>
      <c r="J25" s="293" t="s">
        <v>123</v>
      </c>
      <c r="K25" s="293"/>
      <c r="L25" s="293"/>
    </row>
    <row r="26" ht="13.5" spans="1:12">
      <c r="A26" s="289"/>
      <c r="B26" s="290" t="s">
        <v>124</v>
      </c>
      <c r="C26" s="294" t="s">
        <v>125</v>
      </c>
      <c r="D26" s="290" t="s">
        <v>124</v>
      </c>
      <c r="E26" s="294" t="s">
        <v>126</v>
      </c>
      <c r="F26" s="294" t="s">
        <v>127</v>
      </c>
      <c r="G26" s="290" t="s">
        <v>124</v>
      </c>
      <c r="H26" s="295" t="s">
        <v>128</v>
      </c>
      <c r="I26" s="294" t="s">
        <v>129</v>
      </c>
      <c r="J26" s="290" t="s">
        <v>130</v>
      </c>
      <c r="K26" s="296" t="s">
        <v>128</v>
      </c>
      <c r="L26" s="294" t="s">
        <v>131</v>
      </c>
    </row>
    <row r="27" ht="12.75" spans="1:12">
      <c r="A27" s="297" t="s">
        <v>136</v>
      </c>
      <c r="B27" s="285"/>
      <c r="C27" s="286">
        <f>20*B27</f>
        <v>0</v>
      </c>
      <c r="D27" s="285"/>
      <c r="E27" s="286"/>
      <c r="F27" s="286"/>
      <c r="G27" s="285"/>
      <c r="H27" s="298"/>
      <c r="I27" s="298"/>
      <c r="J27" s="285"/>
      <c r="K27" s="298"/>
      <c r="L27" s="298">
        <v>0</v>
      </c>
    </row>
    <row r="28" spans="1:12">
      <c r="A28" s="284"/>
      <c r="B28" s="285"/>
      <c r="C28" s="286"/>
      <c r="D28" s="285">
        <v>0</v>
      </c>
      <c r="E28" s="286">
        <v>0</v>
      </c>
      <c r="F28" s="286">
        <f t="shared" ref="F28:F41" si="26">D28*E28</f>
        <v>0</v>
      </c>
      <c r="G28" s="285">
        <v>0</v>
      </c>
      <c r="H28" s="298"/>
      <c r="I28" s="286">
        <f t="shared" ref="I28:I41" si="27">IF(F28=0,G28*H28,0)</f>
        <v>0</v>
      </c>
      <c r="J28" s="285">
        <f t="shared" ref="J28:J41" si="28">D28-G28+J27</f>
        <v>0</v>
      </c>
      <c r="K28" s="298">
        <f t="shared" ref="K28:K41" si="29">IF(J28=0,0,L28/J28)</f>
        <v>0</v>
      </c>
      <c r="L28" s="286">
        <f t="shared" ref="L28:L41" si="30">IF(F28=0,L27-I28,L27+F28)</f>
        <v>0</v>
      </c>
    </row>
    <row r="29" spans="1:12">
      <c r="A29" s="284"/>
      <c r="B29" s="285"/>
      <c r="C29" s="286"/>
      <c r="D29" s="285">
        <v>0</v>
      </c>
      <c r="E29" s="286"/>
      <c r="F29" s="286">
        <f t="shared" si="26"/>
        <v>0</v>
      </c>
      <c r="G29" s="285">
        <v>10</v>
      </c>
      <c r="H29" s="298">
        <f t="shared" ref="H29:H41" si="31">K28</f>
        <v>0</v>
      </c>
      <c r="I29" s="286">
        <f t="shared" si="27"/>
        <v>0</v>
      </c>
      <c r="J29" s="285">
        <f t="shared" si="28"/>
        <v>-10</v>
      </c>
      <c r="K29" s="298">
        <f t="shared" si="29"/>
        <v>0</v>
      </c>
      <c r="L29" s="286">
        <f t="shared" si="30"/>
        <v>0</v>
      </c>
    </row>
    <row r="30" spans="1:12">
      <c r="A30" s="284"/>
      <c r="B30" s="285"/>
      <c r="C30" s="286"/>
      <c r="D30" s="285">
        <v>0</v>
      </c>
      <c r="E30" s="286"/>
      <c r="F30" s="286">
        <f t="shared" ref="F30" si="32">D30*E30</f>
        <v>0</v>
      </c>
      <c r="G30" s="285">
        <v>10</v>
      </c>
      <c r="H30" s="298">
        <f t="shared" ref="H30" si="33">K29</f>
        <v>0</v>
      </c>
      <c r="I30" s="286">
        <f t="shared" ref="I30" si="34">IF(F30=0,G30*H30,0)</f>
        <v>0</v>
      </c>
      <c r="J30" s="285">
        <f t="shared" ref="J30" si="35">D30-G30+J29</f>
        <v>-20</v>
      </c>
      <c r="K30" s="298">
        <f t="shared" ref="K30" si="36">IF(J30=0,0,L30/J30)</f>
        <v>0</v>
      </c>
      <c r="L30" s="286">
        <f t="shared" ref="L30" si="37">IF(F30=0,L29-I30,L29+F30)</f>
        <v>0</v>
      </c>
    </row>
    <row r="31" spans="1:12">
      <c r="A31" s="284"/>
      <c r="B31" s="285"/>
      <c r="C31" s="286"/>
      <c r="D31" s="285">
        <v>0</v>
      </c>
      <c r="E31" s="286"/>
      <c r="F31" s="286">
        <f t="shared" ref="F31" si="38">D31*E31</f>
        <v>0</v>
      </c>
      <c r="G31" s="285">
        <v>0</v>
      </c>
      <c r="H31" s="298">
        <f t="shared" ref="H31" si="39">K30</f>
        <v>0</v>
      </c>
      <c r="I31" s="286">
        <f t="shared" ref="I31" si="40">IF(F31=0,G31*H31,0)</f>
        <v>0</v>
      </c>
      <c r="J31" s="285">
        <f t="shared" ref="J31" si="41">D31-G31+J30</f>
        <v>-20</v>
      </c>
      <c r="K31" s="298">
        <f t="shared" ref="K31" si="42">IF(J31=0,0,L31/J31)</f>
        <v>0</v>
      </c>
      <c r="L31" s="286">
        <f t="shared" ref="L31" si="43">IF(F31=0,L30-I31,L30+F31)</f>
        <v>0</v>
      </c>
    </row>
    <row r="32" spans="1:12">
      <c r="A32" s="284"/>
      <c r="B32" s="285"/>
      <c r="C32" s="286"/>
      <c r="D32" s="285">
        <v>0</v>
      </c>
      <c r="E32" s="286"/>
      <c r="F32" s="286">
        <f t="shared" si="26"/>
        <v>0</v>
      </c>
      <c r="G32" s="285">
        <v>0</v>
      </c>
      <c r="H32" s="298">
        <f>K29</f>
        <v>0</v>
      </c>
      <c r="I32" s="286">
        <f t="shared" si="27"/>
        <v>0</v>
      </c>
      <c r="J32" s="285">
        <f>D32-G32+J29</f>
        <v>-10</v>
      </c>
      <c r="K32" s="298">
        <f t="shared" si="29"/>
        <v>0</v>
      </c>
      <c r="L32" s="286">
        <f>IF(F32=0,L29-I32,L29+F32)</f>
        <v>0</v>
      </c>
    </row>
    <row r="33" spans="1:12">
      <c r="A33" s="284"/>
      <c r="B33" s="285"/>
      <c r="C33" s="286"/>
      <c r="D33" s="285">
        <v>0</v>
      </c>
      <c r="E33" s="286"/>
      <c r="F33" s="286">
        <f t="shared" si="26"/>
        <v>0</v>
      </c>
      <c r="G33" s="285">
        <v>0</v>
      </c>
      <c r="H33" s="298">
        <f t="shared" si="31"/>
        <v>0</v>
      </c>
      <c r="I33" s="286">
        <f t="shared" si="27"/>
        <v>0</v>
      </c>
      <c r="J33" s="285">
        <f t="shared" si="28"/>
        <v>-10</v>
      </c>
      <c r="K33" s="298">
        <f t="shared" si="29"/>
        <v>0</v>
      </c>
      <c r="L33" s="286">
        <f t="shared" si="30"/>
        <v>0</v>
      </c>
    </row>
    <row r="34" spans="1:12">
      <c r="A34" s="284"/>
      <c r="B34" s="285"/>
      <c r="C34" s="286"/>
      <c r="D34" s="285">
        <v>0</v>
      </c>
      <c r="E34" s="286"/>
      <c r="F34" s="286">
        <f t="shared" si="26"/>
        <v>0</v>
      </c>
      <c r="G34" s="285">
        <v>0</v>
      </c>
      <c r="H34" s="298">
        <f t="shared" si="31"/>
        <v>0</v>
      </c>
      <c r="I34" s="286">
        <f t="shared" si="27"/>
        <v>0</v>
      </c>
      <c r="J34" s="285">
        <f t="shared" si="28"/>
        <v>-10</v>
      </c>
      <c r="K34" s="298">
        <f t="shared" si="29"/>
        <v>0</v>
      </c>
      <c r="L34" s="286">
        <f t="shared" si="30"/>
        <v>0</v>
      </c>
    </row>
    <row r="35" spans="1:12">
      <c r="A35" s="284"/>
      <c r="B35" s="285"/>
      <c r="C35" s="286"/>
      <c r="D35" s="285">
        <v>0</v>
      </c>
      <c r="E35" s="286"/>
      <c r="F35" s="286">
        <f t="shared" si="26"/>
        <v>0</v>
      </c>
      <c r="G35" s="285">
        <v>0</v>
      </c>
      <c r="H35" s="298">
        <f t="shared" si="31"/>
        <v>0</v>
      </c>
      <c r="I35" s="286">
        <f t="shared" si="27"/>
        <v>0</v>
      </c>
      <c r="J35" s="285">
        <f t="shared" si="28"/>
        <v>-10</v>
      </c>
      <c r="K35" s="298">
        <f t="shared" si="29"/>
        <v>0</v>
      </c>
      <c r="L35" s="286">
        <f t="shared" si="30"/>
        <v>0</v>
      </c>
    </row>
    <row r="36" spans="1:12">
      <c r="A36" s="284"/>
      <c r="B36" s="285"/>
      <c r="C36" s="286"/>
      <c r="D36" s="285">
        <v>0</v>
      </c>
      <c r="E36" s="286"/>
      <c r="F36" s="286">
        <f t="shared" si="26"/>
        <v>0</v>
      </c>
      <c r="G36" s="285">
        <v>0</v>
      </c>
      <c r="H36" s="298">
        <f t="shared" si="31"/>
        <v>0</v>
      </c>
      <c r="I36" s="286">
        <f t="shared" si="27"/>
        <v>0</v>
      </c>
      <c r="J36" s="285">
        <f t="shared" si="28"/>
        <v>-10</v>
      </c>
      <c r="K36" s="298">
        <f t="shared" si="29"/>
        <v>0</v>
      </c>
      <c r="L36" s="286">
        <f t="shared" si="30"/>
        <v>0</v>
      </c>
    </row>
    <row r="37" spans="1:12">
      <c r="A37" s="284"/>
      <c r="B37" s="285"/>
      <c r="C37" s="286"/>
      <c r="D37" s="285">
        <v>0</v>
      </c>
      <c r="E37" s="286"/>
      <c r="F37" s="286">
        <f t="shared" si="26"/>
        <v>0</v>
      </c>
      <c r="G37" s="285">
        <v>0</v>
      </c>
      <c r="H37" s="298">
        <f t="shared" si="31"/>
        <v>0</v>
      </c>
      <c r="I37" s="286">
        <f t="shared" si="27"/>
        <v>0</v>
      </c>
      <c r="J37" s="285">
        <f t="shared" si="28"/>
        <v>-10</v>
      </c>
      <c r="K37" s="298">
        <f t="shared" si="29"/>
        <v>0</v>
      </c>
      <c r="L37" s="286">
        <f t="shared" si="30"/>
        <v>0</v>
      </c>
    </row>
    <row r="38" spans="1:12">
      <c r="A38" s="284"/>
      <c r="B38" s="285"/>
      <c r="C38" s="286"/>
      <c r="D38" s="285">
        <v>0</v>
      </c>
      <c r="E38" s="286"/>
      <c r="F38" s="286">
        <f t="shared" si="26"/>
        <v>0</v>
      </c>
      <c r="G38" s="285">
        <v>0</v>
      </c>
      <c r="H38" s="298">
        <f t="shared" si="31"/>
        <v>0</v>
      </c>
      <c r="I38" s="286">
        <f t="shared" si="27"/>
        <v>0</v>
      </c>
      <c r="J38" s="285">
        <f t="shared" si="28"/>
        <v>-10</v>
      </c>
      <c r="K38" s="298">
        <f t="shared" si="29"/>
        <v>0</v>
      </c>
      <c r="L38" s="286">
        <f t="shared" si="30"/>
        <v>0</v>
      </c>
    </row>
    <row r="39" spans="1:12">
      <c r="A39" s="299"/>
      <c r="B39" s="285"/>
      <c r="C39" s="286"/>
      <c r="D39" s="285">
        <v>0</v>
      </c>
      <c r="E39" s="286"/>
      <c r="F39" s="286">
        <f t="shared" si="26"/>
        <v>0</v>
      </c>
      <c r="G39" s="285">
        <v>0</v>
      </c>
      <c r="H39" s="298">
        <f t="shared" si="31"/>
        <v>0</v>
      </c>
      <c r="I39" s="286">
        <f t="shared" si="27"/>
        <v>0</v>
      </c>
      <c r="J39" s="285">
        <f t="shared" si="28"/>
        <v>-10</v>
      </c>
      <c r="K39" s="298">
        <f t="shared" si="29"/>
        <v>0</v>
      </c>
      <c r="L39" s="286">
        <f t="shared" si="30"/>
        <v>0</v>
      </c>
    </row>
    <row r="40" spans="1:12">
      <c r="A40" s="284"/>
      <c r="B40" s="285"/>
      <c r="C40" s="286"/>
      <c r="D40" s="285">
        <v>0</v>
      </c>
      <c r="E40" s="286"/>
      <c r="F40" s="286">
        <f t="shared" si="26"/>
        <v>0</v>
      </c>
      <c r="G40" s="285">
        <v>0</v>
      </c>
      <c r="H40" s="298">
        <f t="shared" si="31"/>
        <v>0</v>
      </c>
      <c r="I40" s="286">
        <f t="shared" si="27"/>
        <v>0</v>
      </c>
      <c r="J40" s="285">
        <f t="shared" si="28"/>
        <v>-10</v>
      </c>
      <c r="K40" s="298">
        <f t="shared" si="29"/>
        <v>0</v>
      </c>
      <c r="L40" s="286">
        <f t="shared" si="30"/>
        <v>0</v>
      </c>
    </row>
    <row r="41" spans="1:12">
      <c r="A41" s="284"/>
      <c r="B41" s="285"/>
      <c r="C41" s="286"/>
      <c r="D41" s="285">
        <v>0</v>
      </c>
      <c r="E41" s="286"/>
      <c r="F41" s="286">
        <f t="shared" si="26"/>
        <v>0</v>
      </c>
      <c r="G41" s="285">
        <v>0</v>
      </c>
      <c r="H41" s="298">
        <f t="shared" si="31"/>
        <v>0</v>
      </c>
      <c r="I41" s="286">
        <f t="shared" si="27"/>
        <v>0</v>
      </c>
      <c r="J41" s="285">
        <f t="shared" si="28"/>
        <v>-10</v>
      </c>
      <c r="K41" s="298">
        <f t="shared" si="29"/>
        <v>0</v>
      </c>
      <c r="L41" s="286">
        <f t="shared" si="30"/>
        <v>0</v>
      </c>
    </row>
    <row r="42" ht="13.5" spans="1:12">
      <c r="A42" s="284"/>
      <c r="B42" s="285"/>
      <c r="C42" s="286"/>
      <c r="D42" s="285"/>
      <c r="E42" s="286"/>
      <c r="F42" s="300" t="s">
        <v>133</v>
      </c>
      <c r="G42" s="301">
        <f>SUM(F28:F41)</f>
        <v>0</v>
      </c>
      <c r="H42" s="300" t="s">
        <v>134</v>
      </c>
      <c r="I42" s="302">
        <f>SUM(I28:I40)</f>
        <v>0</v>
      </c>
      <c r="J42" s="285"/>
      <c r="K42" s="300" t="s">
        <v>131</v>
      </c>
      <c r="L42" s="286">
        <f>L41</f>
        <v>0</v>
      </c>
    </row>
    <row r="43" spans="1:12">
      <c r="A43" s="303"/>
      <c r="B43" s="285"/>
      <c r="C43" s="286"/>
      <c r="D43" s="285"/>
      <c r="E43" s="286"/>
      <c r="F43" s="286"/>
      <c r="G43" s="285"/>
      <c r="H43" s="286"/>
      <c r="I43" s="286"/>
      <c r="J43" s="301"/>
      <c r="K43" s="286"/>
    </row>
    <row r="44" spans="1:12">
      <c r="A44" s="303"/>
      <c r="B44" s="285"/>
      <c r="C44" s="286"/>
      <c r="D44" s="285"/>
      <c r="E44" s="286"/>
      <c r="F44" s="286"/>
      <c r="G44" s="285"/>
      <c r="H44" s="286"/>
      <c r="I44" s="286"/>
      <c r="J44" s="301"/>
      <c r="K44" s="286"/>
    </row>
    <row r="45" ht="15.75" spans="1:12">
      <c r="A45" s="283" t="s">
        <v>116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</row>
    <row r="46" ht="12.75" spans="1:12">
      <c r="A46" s="284" t="s">
        <v>117</v>
      </c>
      <c r="B46" s="285"/>
      <c r="C46" s="286"/>
      <c r="D46" s="285"/>
      <c r="E46" s="286"/>
      <c r="F46" s="286"/>
      <c r="G46" s="285"/>
      <c r="H46" s="286"/>
      <c r="I46" s="287" t="s">
        <v>135</v>
      </c>
      <c r="J46" s="288"/>
      <c r="K46" s="288"/>
    </row>
    <row r="47" ht="13.5" spans="1:12">
      <c r="A47" s="289" t="s">
        <v>119</v>
      </c>
      <c r="B47" s="290" t="s">
        <v>120</v>
      </c>
      <c r="C47" s="290"/>
      <c r="D47" s="291" t="s">
        <v>121</v>
      </c>
      <c r="E47" s="291"/>
      <c r="F47" s="291"/>
      <c r="G47" s="292" t="s">
        <v>122</v>
      </c>
      <c r="H47" s="292"/>
      <c r="I47" s="292"/>
      <c r="J47" s="293" t="s">
        <v>123</v>
      </c>
      <c r="K47" s="293"/>
      <c r="L47" s="293"/>
    </row>
    <row r="48" ht="13.5" spans="1:12">
      <c r="A48" s="289"/>
      <c r="B48" s="290" t="s">
        <v>124</v>
      </c>
      <c r="C48" s="294" t="s">
        <v>125</v>
      </c>
      <c r="D48" s="290" t="s">
        <v>124</v>
      </c>
      <c r="E48" s="294" t="s">
        <v>126</v>
      </c>
      <c r="F48" s="294" t="s">
        <v>127</v>
      </c>
      <c r="G48" s="290" t="s">
        <v>124</v>
      </c>
      <c r="H48" s="295" t="s">
        <v>128</v>
      </c>
      <c r="I48" s="294" t="s">
        <v>129</v>
      </c>
      <c r="J48" s="290" t="s">
        <v>130</v>
      </c>
      <c r="K48" s="296" t="s">
        <v>128</v>
      </c>
      <c r="L48" s="294" t="s">
        <v>131</v>
      </c>
    </row>
    <row r="49" ht="12.75" spans="1:12">
      <c r="A49" s="297" t="s">
        <v>137</v>
      </c>
      <c r="B49" s="285"/>
      <c r="C49" s="286">
        <f>20*B49</f>
        <v>0</v>
      </c>
      <c r="D49" s="285"/>
      <c r="E49" s="286"/>
      <c r="F49" s="286"/>
      <c r="G49" s="285"/>
      <c r="H49" s="298"/>
      <c r="I49" s="298"/>
      <c r="J49" s="285"/>
      <c r="K49" s="298"/>
      <c r="L49" s="298">
        <v>0</v>
      </c>
    </row>
    <row r="50" spans="1:12">
      <c r="A50" s="284"/>
      <c r="B50" s="285"/>
      <c r="C50" s="286"/>
      <c r="D50" s="285">
        <v>0</v>
      </c>
      <c r="E50" s="286">
        <v>0</v>
      </c>
      <c r="F50" s="286">
        <f t="shared" ref="F50:F61" si="44">D50*E50</f>
        <v>0</v>
      </c>
      <c r="G50" s="285">
        <v>0</v>
      </c>
      <c r="H50" s="298"/>
      <c r="I50" s="286">
        <f t="shared" ref="I50:I61" si="45">IF(F50=0,G50*H50,0)</f>
        <v>0</v>
      </c>
      <c r="J50" s="285">
        <f t="shared" ref="J50:J61" si="46">D50-G50+J49</f>
        <v>0</v>
      </c>
      <c r="K50" s="298">
        <f t="shared" ref="K50:K61" si="47">IF(J50=0,0,L50/J50)</f>
        <v>0</v>
      </c>
      <c r="L50" s="286">
        <f t="shared" ref="L50:L61" si="48">IF(F50=0,L49-I50,L49+F50)</f>
        <v>0</v>
      </c>
    </row>
    <row r="51" spans="1:12">
      <c r="A51" s="284"/>
      <c r="B51" s="285"/>
      <c r="C51" s="286"/>
      <c r="D51" s="285">
        <v>0</v>
      </c>
      <c r="E51" s="286"/>
      <c r="F51" s="286">
        <f t="shared" si="44"/>
        <v>0</v>
      </c>
      <c r="G51" s="285">
        <v>0</v>
      </c>
      <c r="H51" s="298">
        <f t="shared" ref="H51:H61" si="49">K50</f>
        <v>0</v>
      </c>
      <c r="I51" s="286">
        <f t="shared" si="45"/>
        <v>0</v>
      </c>
      <c r="J51" s="285">
        <f t="shared" si="46"/>
        <v>0</v>
      </c>
      <c r="K51" s="298">
        <f t="shared" si="47"/>
        <v>0</v>
      </c>
      <c r="L51" s="286">
        <f t="shared" si="48"/>
        <v>0</v>
      </c>
    </row>
    <row r="52" spans="1:12">
      <c r="A52" s="284"/>
      <c r="B52" s="285"/>
      <c r="C52" s="286"/>
      <c r="D52" s="285">
        <v>0</v>
      </c>
      <c r="E52" s="286"/>
      <c r="F52" s="286">
        <f t="shared" si="44"/>
        <v>0</v>
      </c>
      <c r="G52" s="285">
        <v>0</v>
      </c>
      <c r="H52" s="298">
        <f t="shared" si="49"/>
        <v>0</v>
      </c>
      <c r="I52" s="286">
        <f t="shared" si="45"/>
        <v>0</v>
      </c>
      <c r="J52" s="285">
        <f t="shared" si="46"/>
        <v>0</v>
      </c>
      <c r="K52" s="298">
        <f t="shared" si="47"/>
        <v>0</v>
      </c>
      <c r="L52" s="286">
        <f t="shared" si="48"/>
        <v>0</v>
      </c>
    </row>
    <row r="53" spans="1:12">
      <c r="A53" s="284"/>
      <c r="B53" s="285"/>
      <c r="C53" s="286"/>
      <c r="D53" s="285">
        <v>0</v>
      </c>
      <c r="E53" s="286"/>
      <c r="F53" s="286">
        <f t="shared" si="44"/>
        <v>0</v>
      </c>
      <c r="G53" s="285">
        <v>0</v>
      </c>
      <c r="H53" s="298">
        <f t="shared" si="49"/>
        <v>0</v>
      </c>
      <c r="I53" s="286">
        <f t="shared" si="45"/>
        <v>0</v>
      </c>
      <c r="J53" s="285">
        <f t="shared" si="46"/>
        <v>0</v>
      </c>
      <c r="K53" s="298">
        <f t="shared" si="47"/>
        <v>0</v>
      </c>
      <c r="L53" s="286">
        <f t="shared" si="48"/>
        <v>0</v>
      </c>
    </row>
    <row r="54" spans="1:12">
      <c r="A54" s="284"/>
      <c r="B54" s="285"/>
      <c r="C54" s="286"/>
      <c r="D54" s="285">
        <v>0</v>
      </c>
      <c r="E54" s="286"/>
      <c r="F54" s="286">
        <f t="shared" si="44"/>
        <v>0</v>
      </c>
      <c r="G54" s="285">
        <v>0</v>
      </c>
      <c r="H54" s="298">
        <f t="shared" si="49"/>
        <v>0</v>
      </c>
      <c r="I54" s="286">
        <f t="shared" si="45"/>
        <v>0</v>
      </c>
      <c r="J54" s="285">
        <f t="shared" si="46"/>
        <v>0</v>
      </c>
      <c r="K54" s="298">
        <f t="shared" si="47"/>
        <v>0</v>
      </c>
      <c r="L54" s="286">
        <f t="shared" si="48"/>
        <v>0</v>
      </c>
    </row>
    <row r="55" spans="1:12">
      <c r="A55" s="284"/>
      <c r="B55" s="285"/>
      <c r="C55" s="286"/>
      <c r="D55" s="285">
        <v>0</v>
      </c>
      <c r="E55" s="286"/>
      <c r="F55" s="286">
        <f t="shared" si="44"/>
        <v>0</v>
      </c>
      <c r="G55" s="285">
        <v>0</v>
      </c>
      <c r="H55" s="298">
        <f t="shared" si="49"/>
        <v>0</v>
      </c>
      <c r="I55" s="286">
        <f t="shared" si="45"/>
        <v>0</v>
      </c>
      <c r="J55" s="285">
        <f t="shared" si="46"/>
        <v>0</v>
      </c>
      <c r="K55" s="298">
        <f t="shared" si="47"/>
        <v>0</v>
      </c>
      <c r="L55" s="286">
        <f t="shared" si="48"/>
        <v>0</v>
      </c>
    </row>
    <row r="56" spans="1:12">
      <c r="A56" s="284"/>
      <c r="B56" s="285"/>
      <c r="C56" s="286"/>
      <c r="D56" s="285">
        <v>0</v>
      </c>
      <c r="E56" s="286"/>
      <c r="F56" s="286">
        <f t="shared" si="44"/>
        <v>0</v>
      </c>
      <c r="G56" s="285">
        <v>0</v>
      </c>
      <c r="H56" s="298">
        <f t="shared" si="49"/>
        <v>0</v>
      </c>
      <c r="I56" s="286">
        <f t="shared" si="45"/>
        <v>0</v>
      </c>
      <c r="J56" s="285">
        <f t="shared" si="46"/>
        <v>0</v>
      </c>
      <c r="K56" s="298">
        <f t="shared" si="47"/>
        <v>0</v>
      </c>
      <c r="L56" s="286">
        <f t="shared" si="48"/>
        <v>0</v>
      </c>
    </row>
    <row r="57" spans="1:12">
      <c r="A57" s="284"/>
      <c r="B57" s="285"/>
      <c r="C57" s="286"/>
      <c r="D57" s="285">
        <v>0</v>
      </c>
      <c r="E57" s="286"/>
      <c r="F57" s="286">
        <f t="shared" si="44"/>
        <v>0</v>
      </c>
      <c r="G57" s="285">
        <v>0</v>
      </c>
      <c r="H57" s="298">
        <f t="shared" si="49"/>
        <v>0</v>
      </c>
      <c r="I57" s="286">
        <f t="shared" si="45"/>
        <v>0</v>
      </c>
      <c r="J57" s="285">
        <f t="shared" si="46"/>
        <v>0</v>
      </c>
      <c r="K57" s="298">
        <f t="shared" si="47"/>
        <v>0</v>
      </c>
      <c r="L57" s="286">
        <f t="shared" si="48"/>
        <v>0</v>
      </c>
    </row>
    <row r="58" spans="1:12">
      <c r="A58" s="284"/>
      <c r="B58" s="285"/>
      <c r="C58" s="286"/>
      <c r="D58" s="285">
        <v>0</v>
      </c>
      <c r="E58" s="286"/>
      <c r="F58" s="286">
        <f t="shared" si="44"/>
        <v>0</v>
      </c>
      <c r="G58" s="285">
        <v>0</v>
      </c>
      <c r="H58" s="298">
        <f t="shared" si="49"/>
        <v>0</v>
      </c>
      <c r="I58" s="286">
        <f t="shared" si="45"/>
        <v>0</v>
      </c>
      <c r="J58" s="285">
        <f t="shared" si="46"/>
        <v>0</v>
      </c>
      <c r="K58" s="298">
        <f t="shared" si="47"/>
        <v>0</v>
      </c>
      <c r="L58" s="286">
        <f t="shared" si="48"/>
        <v>0</v>
      </c>
    </row>
    <row r="59" spans="1:12">
      <c r="A59" s="299"/>
      <c r="B59" s="285"/>
      <c r="C59" s="286"/>
      <c r="D59" s="285">
        <v>0</v>
      </c>
      <c r="E59" s="286"/>
      <c r="F59" s="286">
        <f t="shared" si="44"/>
        <v>0</v>
      </c>
      <c r="G59" s="285">
        <v>0</v>
      </c>
      <c r="H59" s="298">
        <f t="shared" si="49"/>
        <v>0</v>
      </c>
      <c r="I59" s="286">
        <f t="shared" si="45"/>
        <v>0</v>
      </c>
      <c r="J59" s="285">
        <f t="shared" si="46"/>
        <v>0</v>
      </c>
      <c r="K59" s="298">
        <f t="shared" si="47"/>
        <v>0</v>
      </c>
      <c r="L59" s="286">
        <f t="shared" si="48"/>
        <v>0</v>
      </c>
    </row>
    <row r="60" spans="1:12">
      <c r="A60" s="284"/>
      <c r="B60" s="285"/>
      <c r="C60" s="286"/>
      <c r="D60" s="285">
        <v>0</v>
      </c>
      <c r="E60" s="286"/>
      <c r="F60" s="286">
        <f t="shared" si="44"/>
        <v>0</v>
      </c>
      <c r="G60" s="285">
        <v>0</v>
      </c>
      <c r="H60" s="298">
        <f t="shared" si="49"/>
        <v>0</v>
      </c>
      <c r="I60" s="286">
        <f t="shared" si="45"/>
        <v>0</v>
      </c>
      <c r="J60" s="285">
        <f t="shared" si="46"/>
        <v>0</v>
      </c>
      <c r="K60" s="298">
        <f t="shared" si="47"/>
        <v>0</v>
      </c>
      <c r="L60" s="286">
        <f t="shared" si="48"/>
        <v>0</v>
      </c>
    </row>
    <row r="61" spans="1:12">
      <c r="A61" s="284"/>
      <c r="B61" s="285"/>
      <c r="C61" s="286"/>
      <c r="D61" s="285">
        <v>0</v>
      </c>
      <c r="E61" s="286"/>
      <c r="F61" s="286">
        <f t="shared" si="44"/>
        <v>0</v>
      </c>
      <c r="G61" s="285">
        <v>0</v>
      </c>
      <c r="H61" s="298">
        <f t="shared" si="49"/>
        <v>0</v>
      </c>
      <c r="I61" s="286">
        <f t="shared" si="45"/>
        <v>0</v>
      </c>
      <c r="J61" s="285">
        <f t="shared" si="46"/>
        <v>0</v>
      </c>
      <c r="K61" s="298">
        <f t="shared" si="47"/>
        <v>0</v>
      </c>
      <c r="L61" s="286">
        <f t="shared" si="48"/>
        <v>0</v>
      </c>
    </row>
    <row r="62" ht="13.5" spans="1:12">
      <c r="A62" s="284"/>
      <c r="B62" s="285"/>
      <c r="C62" s="286"/>
      <c r="D62" s="285"/>
      <c r="E62" s="286"/>
      <c r="F62" s="300" t="s">
        <v>133</v>
      </c>
      <c r="G62" s="301">
        <f>SUM(F50:F61)</f>
        <v>0</v>
      </c>
      <c r="H62" s="300" t="s">
        <v>134</v>
      </c>
      <c r="I62" s="302">
        <f>SUM(I50:I60)</f>
        <v>0</v>
      </c>
      <c r="J62" s="285"/>
      <c r="K62" s="300" t="s">
        <v>131</v>
      </c>
      <c r="L62" s="286">
        <f>L61</f>
        <v>0</v>
      </c>
    </row>
    <row r="63" spans="1:12">
      <c r="A63" s="303"/>
      <c r="B63" s="285"/>
      <c r="C63" s="286"/>
      <c r="D63" s="285"/>
      <c r="E63" s="286"/>
      <c r="F63" s="286"/>
      <c r="G63" s="285"/>
      <c r="H63" s="286"/>
      <c r="I63" s="286"/>
      <c r="J63" s="301"/>
      <c r="K63" s="286"/>
    </row>
    <row r="64" spans="1:12">
      <c r="A64" s="303"/>
      <c r="B64" s="285"/>
      <c r="C64" s="286"/>
      <c r="D64" s="285"/>
      <c r="E64" s="286"/>
      <c r="F64" s="286"/>
      <c r="G64" s="285"/>
      <c r="H64" s="286"/>
      <c r="I64" s="286"/>
      <c r="J64" s="301"/>
      <c r="K64" s="286"/>
    </row>
    <row r="65" ht="15.75" spans="1:12">
      <c r="A65" s="283" t="s">
        <v>116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</row>
    <row r="66" ht="12.75" spans="1:12">
      <c r="A66" s="284" t="s">
        <v>117</v>
      </c>
      <c r="B66" s="285"/>
      <c r="C66" s="286"/>
      <c r="D66" s="285"/>
      <c r="E66" s="286"/>
      <c r="F66" s="286"/>
      <c r="G66" s="285"/>
      <c r="H66" s="286"/>
      <c r="I66" s="287" t="s">
        <v>135</v>
      </c>
      <c r="J66" s="287"/>
      <c r="K66" s="287"/>
    </row>
    <row r="67" ht="13.5" spans="1:12">
      <c r="A67" s="289" t="s">
        <v>119</v>
      </c>
      <c r="B67" s="290" t="s">
        <v>120</v>
      </c>
      <c r="C67" s="290"/>
      <c r="D67" s="291" t="s">
        <v>121</v>
      </c>
      <c r="E67" s="291"/>
      <c r="F67" s="291"/>
      <c r="G67" s="292" t="s">
        <v>122</v>
      </c>
      <c r="H67" s="292"/>
      <c r="I67" s="292"/>
      <c r="J67" s="293" t="s">
        <v>123</v>
      </c>
      <c r="K67" s="293"/>
      <c r="L67" s="293"/>
    </row>
    <row r="68" ht="13.5" spans="1:12">
      <c r="A68" s="289"/>
      <c r="B68" s="290" t="s">
        <v>124</v>
      </c>
      <c r="C68" s="294" t="s">
        <v>125</v>
      </c>
      <c r="D68" s="290" t="s">
        <v>124</v>
      </c>
      <c r="E68" s="294" t="s">
        <v>126</v>
      </c>
      <c r="F68" s="294" t="s">
        <v>127</v>
      </c>
      <c r="G68" s="290" t="s">
        <v>124</v>
      </c>
      <c r="H68" s="295" t="s">
        <v>128</v>
      </c>
      <c r="I68" s="294" t="s">
        <v>129</v>
      </c>
      <c r="J68" s="290" t="s">
        <v>130</v>
      </c>
      <c r="K68" s="296" t="s">
        <v>128</v>
      </c>
      <c r="L68" s="294" t="s">
        <v>131</v>
      </c>
    </row>
    <row r="69" ht="12.75" spans="1:12">
      <c r="A69" s="297" t="s">
        <v>138</v>
      </c>
      <c r="B69" s="285"/>
      <c r="C69" s="286">
        <f>20*B69</f>
        <v>0</v>
      </c>
      <c r="D69" s="285"/>
      <c r="E69" s="286"/>
      <c r="F69" s="286"/>
      <c r="G69" s="285"/>
      <c r="H69" s="298"/>
      <c r="I69" s="298"/>
      <c r="J69" s="285"/>
      <c r="K69" s="298"/>
      <c r="L69" s="298">
        <v>0</v>
      </c>
    </row>
    <row r="70" spans="1:12">
      <c r="A70" s="284"/>
      <c r="B70" s="285"/>
      <c r="C70" s="286"/>
      <c r="D70" s="285">
        <v>0</v>
      </c>
      <c r="E70" s="286">
        <v>0</v>
      </c>
      <c r="F70" s="286">
        <f t="shared" ref="F70:F81" si="50">D70*E70</f>
        <v>0</v>
      </c>
      <c r="G70" s="285">
        <v>0</v>
      </c>
      <c r="H70" s="298"/>
      <c r="I70" s="286">
        <f t="shared" ref="I70:I81" si="51">IF(F70=0,G70*H70,0)</f>
        <v>0</v>
      </c>
      <c r="J70" s="285">
        <f t="shared" ref="J70:J81" si="52">D70-G70+J69</f>
        <v>0</v>
      </c>
      <c r="K70" s="298">
        <f t="shared" ref="K70:K81" si="53">IF(J70=0,0,L70/J70)</f>
        <v>0</v>
      </c>
      <c r="L70" s="286">
        <f t="shared" ref="L70:L81" si="54">IF(F70=0,L69-I70,L69+F70)</f>
        <v>0</v>
      </c>
    </row>
    <row r="71" spans="1:12">
      <c r="A71" s="284"/>
      <c r="B71" s="285"/>
      <c r="C71" s="286"/>
      <c r="D71" s="285">
        <v>0</v>
      </c>
      <c r="E71" s="286"/>
      <c r="F71" s="286">
        <f t="shared" si="50"/>
        <v>0</v>
      </c>
      <c r="G71" s="285">
        <v>0</v>
      </c>
      <c r="H71" s="298">
        <f t="shared" ref="H71:H81" si="55">K70</f>
        <v>0</v>
      </c>
      <c r="I71" s="286">
        <f t="shared" si="51"/>
        <v>0</v>
      </c>
      <c r="J71" s="285">
        <f t="shared" si="52"/>
        <v>0</v>
      </c>
      <c r="K71" s="298">
        <f t="shared" si="53"/>
        <v>0</v>
      </c>
      <c r="L71" s="286">
        <f t="shared" si="54"/>
        <v>0</v>
      </c>
    </row>
    <row r="72" spans="1:12">
      <c r="A72" s="284"/>
      <c r="B72" s="285"/>
      <c r="C72" s="286"/>
      <c r="D72" s="285">
        <v>0</v>
      </c>
      <c r="E72" s="286"/>
      <c r="F72" s="286">
        <f t="shared" si="50"/>
        <v>0</v>
      </c>
      <c r="G72" s="285">
        <v>0</v>
      </c>
      <c r="H72" s="298">
        <f t="shared" si="55"/>
        <v>0</v>
      </c>
      <c r="I72" s="286">
        <f t="shared" si="51"/>
        <v>0</v>
      </c>
      <c r="J72" s="285">
        <f t="shared" si="52"/>
        <v>0</v>
      </c>
      <c r="K72" s="298">
        <f t="shared" si="53"/>
        <v>0</v>
      </c>
      <c r="L72" s="286">
        <f t="shared" si="54"/>
        <v>0</v>
      </c>
    </row>
    <row r="73" spans="1:12">
      <c r="A73" s="284"/>
      <c r="B73" s="285"/>
      <c r="C73" s="286"/>
      <c r="D73" s="285">
        <v>0</v>
      </c>
      <c r="E73" s="286"/>
      <c r="F73" s="286">
        <f t="shared" si="50"/>
        <v>0</v>
      </c>
      <c r="G73" s="285">
        <v>0</v>
      </c>
      <c r="H73" s="298">
        <f t="shared" si="55"/>
        <v>0</v>
      </c>
      <c r="I73" s="286">
        <f t="shared" si="51"/>
        <v>0</v>
      </c>
      <c r="J73" s="285">
        <f t="shared" si="52"/>
        <v>0</v>
      </c>
      <c r="K73" s="298">
        <f t="shared" si="53"/>
        <v>0</v>
      </c>
      <c r="L73" s="286">
        <f t="shared" si="54"/>
        <v>0</v>
      </c>
    </row>
    <row r="74" spans="1:12">
      <c r="A74" s="284"/>
      <c r="B74" s="285"/>
      <c r="C74" s="286"/>
      <c r="D74" s="285">
        <v>0</v>
      </c>
      <c r="E74" s="286"/>
      <c r="F74" s="286">
        <f t="shared" si="50"/>
        <v>0</v>
      </c>
      <c r="G74" s="285">
        <v>0</v>
      </c>
      <c r="H74" s="298">
        <f t="shared" si="55"/>
        <v>0</v>
      </c>
      <c r="I74" s="286">
        <f t="shared" si="51"/>
        <v>0</v>
      </c>
      <c r="J74" s="285">
        <f t="shared" si="52"/>
        <v>0</v>
      </c>
      <c r="K74" s="298">
        <f t="shared" si="53"/>
        <v>0</v>
      </c>
      <c r="L74" s="286">
        <f t="shared" si="54"/>
        <v>0</v>
      </c>
    </row>
    <row r="75" spans="1:12">
      <c r="A75" s="284"/>
      <c r="B75" s="285"/>
      <c r="C75" s="286"/>
      <c r="D75" s="285">
        <v>0</v>
      </c>
      <c r="E75" s="286"/>
      <c r="F75" s="286">
        <f t="shared" si="50"/>
        <v>0</v>
      </c>
      <c r="G75" s="285">
        <v>0</v>
      </c>
      <c r="H75" s="298">
        <f t="shared" si="55"/>
        <v>0</v>
      </c>
      <c r="I75" s="286">
        <f t="shared" si="51"/>
        <v>0</v>
      </c>
      <c r="J75" s="285">
        <f t="shared" si="52"/>
        <v>0</v>
      </c>
      <c r="K75" s="298">
        <f t="shared" si="53"/>
        <v>0</v>
      </c>
      <c r="L75" s="286">
        <f t="shared" si="54"/>
        <v>0</v>
      </c>
    </row>
    <row r="76" spans="1:12">
      <c r="A76" s="284"/>
      <c r="B76" s="285"/>
      <c r="C76" s="286"/>
      <c r="D76" s="285">
        <v>0</v>
      </c>
      <c r="E76" s="286"/>
      <c r="F76" s="286">
        <f t="shared" si="50"/>
        <v>0</v>
      </c>
      <c r="G76" s="285">
        <v>0</v>
      </c>
      <c r="H76" s="298">
        <f t="shared" si="55"/>
        <v>0</v>
      </c>
      <c r="I76" s="286">
        <f t="shared" si="51"/>
        <v>0</v>
      </c>
      <c r="J76" s="285">
        <f t="shared" si="52"/>
        <v>0</v>
      </c>
      <c r="K76" s="298">
        <f t="shared" si="53"/>
        <v>0</v>
      </c>
      <c r="L76" s="286">
        <f t="shared" si="54"/>
        <v>0</v>
      </c>
    </row>
    <row r="77" spans="1:12">
      <c r="A77" s="284"/>
      <c r="B77" s="285"/>
      <c r="C77" s="286"/>
      <c r="D77" s="285">
        <v>0</v>
      </c>
      <c r="E77" s="286"/>
      <c r="F77" s="286">
        <f t="shared" si="50"/>
        <v>0</v>
      </c>
      <c r="G77" s="285">
        <v>0</v>
      </c>
      <c r="H77" s="298">
        <f t="shared" si="55"/>
        <v>0</v>
      </c>
      <c r="I77" s="286">
        <f t="shared" si="51"/>
        <v>0</v>
      </c>
      <c r="J77" s="285">
        <f t="shared" si="52"/>
        <v>0</v>
      </c>
      <c r="K77" s="298">
        <f t="shared" si="53"/>
        <v>0</v>
      </c>
      <c r="L77" s="286">
        <f t="shared" si="54"/>
        <v>0</v>
      </c>
    </row>
    <row r="78" spans="1:12">
      <c r="A78" s="284"/>
      <c r="B78" s="285"/>
      <c r="C78" s="286"/>
      <c r="D78" s="285">
        <v>0</v>
      </c>
      <c r="E78" s="286"/>
      <c r="F78" s="286">
        <f t="shared" si="50"/>
        <v>0</v>
      </c>
      <c r="G78" s="285">
        <v>0</v>
      </c>
      <c r="H78" s="298">
        <f t="shared" si="55"/>
        <v>0</v>
      </c>
      <c r="I78" s="286">
        <f t="shared" si="51"/>
        <v>0</v>
      </c>
      <c r="J78" s="285">
        <f t="shared" si="52"/>
        <v>0</v>
      </c>
      <c r="K78" s="298">
        <f t="shared" si="53"/>
        <v>0</v>
      </c>
      <c r="L78" s="286">
        <f t="shared" si="54"/>
        <v>0</v>
      </c>
    </row>
    <row r="79" spans="1:12">
      <c r="A79" s="299"/>
      <c r="B79" s="285"/>
      <c r="C79" s="286"/>
      <c r="D79" s="285">
        <v>0</v>
      </c>
      <c r="E79" s="286"/>
      <c r="F79" s="286">
        <f t="shared" si="50"/>
        <v>0</v>
      </c>
      <c r="G79" s="285">
        <v>0</v>
      </c>
      <c r="H79" s="298">
        <f t="shared" si="55"/>
        <v>0</v>
      </c>
      <c r="I79" s="286">
        <f t="shared" si="51"/>
        <v>0</v>
      </c>
      <c r="J79" s="285">
        <f t="shared" si="52"/>
        <v>0</v>
      </c>
      <c r="K79" s="298">
        <f t="shared" si="53"/>
        <v>0</v>
      </c>
      <c r="L79" s="286">
        <f t="shared" si="54"/>
        <v>0</v>
      </c>
    </row>
    <row r="80" spans="1:12">
      <c r="A80" s="284"/>
      <c r="B80" s="285"/>
      <c r="C80" s="286"/>
      <c r="D80" s="285">
        <v>0</v>
      </c>
      <c r="E80" s="286"/>
      <c r="F80" s="286">
        <f t="shared" si="50"/>
        <v>0</v>
      </c>
      <c r="G80" s="285">
        <v>0</v>
      </c>
      <c r="H80" s="298">
        <f t="shared" si="55"/>
        <v>0</v>
      </c>
      <c r="I80" s="286">
        <f t="shared" si="51"/>
        <v>0</v>
      </c>
      <c r="J80" s="285">
        <f t="shared" si="52"/>
        <v>0</v>
      </c>
      <c r="K80" s="298">
        <f t="shared" si="53"/>
        <v>0</v>
      </c>
      <c r="L80" s="286">
        <f t="shared" si="54"/>
        <v>0</v>
      </c>
    </row>
    <row r="81" spans="1:12">
      <c r="A81" s="284"/>
      <c r="B81" s="285"/>
      <c r="C81" s="286"/>
      <c r="D81" s="285">
        <v>0</v>
      </c>
      <c r="E81" s="286"/>
      <c r="F81" s="286">
        <f t="shared" si="50"/>
        <v>0</v>
      </c>
      <c r="G81" s="285">
        <v>0</v>
      </c>
      <c r="H81" s="298">
        <f t="shared" si="55"/>
        <v>0</v>
      </c>
      <c r="I81" s="286">
        <f t="shared" si="51"/>
        <v>0</v>
      </c>
      <c r="J81" s="285">
        <f t="shared" si="52"/>
        <v>0</v>
      </c>
      <c r="K81" s="298">
        <f t="shared" si="53"/>
        <v>0</v>
      </c>
      <c r="L81" s="286">
        <f t="shared" si="54"/>
        <v>0</v>
      </c>
    </row>
    <row r="82" ht="13.5" spans="1:12">
      <c r="A82" s="284"/>
      <c r="B82" s="285"/>
      <c r="C82" s="286"/>
      <c r="D82" s="285"/>
      <c r="E82" s="286"/>
      <c r="F82" s="300" t="s">
        <v>133</v>
      </c>
      <c r="G82" s="301">
        <f>SUM(F70:F81)</f>
        <v>0</v>
      </c>
      <c r="H82" s="300" t="s">
        <v>134</v>
      </c>
      <c r="I82" s="302">
        <f>SUM(I70:I80)</f>
        <v>0</v>
      </c>
      <c r="J82" s="285"/>
      <c r="K82" s="300" t="s">
        <v>131</v>
      </c>
      <c r="L82" s="286">
        <f>L81</f>
        <v>0</v>
      </c>
    </row>
    <row r="83" spans="1:12">
      <c r="A83" s="303"/>
      <c r="B83" s="285"/>
      <c r="C83" s="286"/>
      <c r="D83" s="285"/>
      <c r="E83" s="286"/>
      <c r="F83" s="286"/>
      <c r="G83" s="285"/>
      <c r="H83" s="286"/>
      <c r="I83" s="286"/>
      <c r="J83" s="301"/>
      <c r="K83" s="286"/>
    </row>
    <row r="84" spans="1:12">
      <c r="A84" s="303"/>
      <c r="B84" s="285"/>
      <c r="C84" s="286"/>
      <c r="D84" s="285"/>
      <c r="E84" s="286"/>
      <c r="F84" s="286"/>
      <c r="G84" s="285"/>
      <c r="H84" s="286"/>
      <c r="I84" s="286"/>
      <c r="J84" s="301"/>
      <c r="K84" s="286"/>
    </row>
    <row r="85" ht="15.75" spans="1:12">
      <c r="A85" s="283" t="s">
        <v>116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</row>
    <row r="86" ht="12.75" spans="1:12">
      <c r="A86" s="284" t="s">
        <v>117</v>
      </c>
      <c r="B86" s="285"/>
      <c r="C86" s="286"/>
      <c r="D86" s="285"/>
      <c r="E86" s="286"/>
      <c r="F86" s="286"/>
      <c r="G86" s="285"/>
      <c r="H86" s="286"/>
      <c r="I86" s="287" t="s">
        <v>135</v>
      </c>
      <c r="J86" s="288"/>
      <c r="K86" s="288"/>
    </row>
    <row r="87" ht="13.5" spans="1:12">
      <c r="A87" s="289" t="s">
        <v>119</v>
      </c>
      <c r="B87" s="290" t="s">
        <v>120</v>
      </c>
      <c r="C87" s="290"/>
      <c r="D87" s="291" t="s">
        <v>121</v>
      </c>
      <c r="E87" s="291"/>
      <c r="F87" s="291"/>
      <c r="G87" s="292" t="s">
        <v>122</v>
      </c>
      <c r="H87" s="292"/>
      <c r="I87" s="292"/>
      <c r="J87" s="293" t="s">
        <v>123</v>
      </c>
      <c r="K87" s="293"/>
      <c r="L87" s="293"/>
    </row>
    <row r="88" ht="13.5" spans="1:12">
      <c r="A88" s="289"/>
      <c r="B88" s="290" t="s">
        <v>124</v>
      </c>
      <c r="C88" s="294" t="s">
        <v>125</v>
      </c>
      <c r="D88" s="290" t="s">
        <v>124</v>
      </c>
      <c r="E88" s="294" t="s">
        <v>126</v>
      </c>
      <c r="F88" s="294" t="s">
        <v>127</v>
      </c>
      <c r="G88" s="290" t="s">
        <v>124</v>
      </c>
      <c r="H88" s="295" t="s">
        <v>128</v>
      </c>
      <c r="I88" s="294" t="s">
        <v>129</v>
      </c>
      <c r="J88" s="290" t="s">
        <v>130</v>
      </c>
      <c r="K88" s="296" t="s">
        <v>128</v>
      </c>
      <c r="L88" s="294" t="s">
        <v>131</v>
      </c>
    </row>
    <row r="89" ht="12.75" spans="1:12">
      <c r="A89" s="297" t="s">
        <v>139</v>
      </c>
      <c r="B89" s="285"/>
      <c r="C89" s="286">
        <f>20*B89</f>
        <v>0</v>
      </c>
      <c r="D89" s="285"/>
      <c r="E89" s="286"/>
      <c r="F89" s="286"/>
      <c r="G89" s="285"/>
      <c r="H89" s="298"/>
      <c r="I89" s="298"/>
      <c r="J89" s="285"/>
      <c r="K89" s="298"/>
      <c r="L89" s="298">
        <v>0</v>
      </c>
    </row>
    <row r="90" spans="1:12">
      <c r="A90" s="284"/>
      <c r="B90" s="285"/>
      <c r="C90" s="286"/>
      <c r="D90" s="285">
        <v>0</v>
      </c>
      <c r="E90" s="286">
        <v>0</v>
      </c>
      <c r="F90" s="286">
        <f t="shared" ref="F90:F101" si="56">D90*E90</f>
        <v>0</v>
      </c>
      <c r="G90" s="285">
        <v>0</v>
      </c>
      <c r="H90" s="298"/>
      <c r="I90" s="286">
        <f t="shared" ref="I90:I101" si="57">IF(F90=0,G90*H90,0)</f>
        <v>0</v>
      </c>
      <c r="J90" s="285">
        <f t="shared" ref="J90:J101" si="58">D90-G90+J89</f>
        <v>0</v>
      </c>
      <c r="K90" s="298">
        <f t="shared" ref="K90:K101" si="59">IF(J90=0,0,L90/J90)</f>
        <v>0</v>
      </c>
      <c r="L90" s="286">
        <f t="shared" ref="L90:L101" si="60">IF(F90=0,L89-I90,L89+F90)</f>
        <v>0</v>
      </c>
    </row>
    <row r="91" spans="1:12">
      <c r="A91" s="284"/>
      <c r="B91" s="285"/>
      <c r="C91" s="286"/>
      <c r="D91" s="285">
        <v>0</v>
      </c>
      <c r="E91" s="286"/>
      <c r="F91" s="286">
        <f t="shared" si="56"/>
        <v>0</v>
      </c>
      <c r="G91" s="285">
        <v>0</v>
      </c>
      <c r="H91" s="298">
        <f t="shared" ref="H91:H101" si="61">K90</f>
        <v>0</v>
      </c>
      <c r="I91" s="286">
        <f t="shared" si="57"/>
        <v>0</v>
      </c>
      <c r="J91" s="285">
        <f t="shared" si="58"/>
        <v>0</v>
      </c>
      <c r="K91" s="298">
        <f t="shared" si="59"/>
        <v>0</v>
      </c>
      <c r="L91" s="286">
        <f t="shared" si="60"/>
        <v>0</v>
      </c>
    </row>
    <row r="92" spans="1:12">
      <c r="A92" s="284"/>
      <c r="B92" s="285"/>
      <c r="C92" s="286"/>
      <c r="D92" s="285">
        <v>0</v>
      </c>
      <c r="E92" s="286"/>
      <c r="F92" s="286">
        <f t="shared" si="56"/>
        <v>0</v>
      </c>
      <c r="G92" s="285">
        <v>0</v>
      </c>
      <c r="H92" s="298">
        <f t="shared" si="61"/>
        <v>0</v>
      </c>
      <c r="I92" s="286">
        <f t="shared" si="57"/>
        <v>0</v>
      </c>
      <c r="J92" s="285">
        <f t="shared" si="58"/>
        <v>0</v>
      </c>
      <c r="K92" s="298">
        <f t="shared" si="59"/>
        <v>0</v>
      </c>
      <c r="L92" s="286">
        <f t="shared" si="60"/>
        <v>0</v>
      </c>
    </row>
    <row r="93" spans="1:12">
      <c r="A93" s="284"/>
      <c r="B93" s="285"/>
      <c r="C93" s="286"/>
      <c r="D93" s="285">
        <v>0</v>
      </c>
      <c r="E93" s="286"/>
      <c r="F93" s="286">
        <f t="shared" si="56"/>
        <v>0</v>
      </c>
      <c r="G93" s="285">
        <v>0</v>
      </c>
      <c r="H93" s="298">
        <f t="shared" si="61"/>
        <v>0</v>
      </c>
      <c r="I93" s="286">
        <f t="shared" si="57"/>
        <v>0</v>
      </c>
      <c r="J93" s="285">
        <f t="shared" si="58"/>
        <v>0</v>
      </c>
      <c r="K93" s="298">
        <f t="shared" si="59"/>
        <v>0</v>
      </c>
      <c r="L93" s="286">
        <f t="shared" si="60"/>
        <v>0</v>
      </c>
    </row>
    <row r="94" spans="1:12">
      <c r="A94" s="284"/>
      <c r="B94" s="285"/>
      <c r="C94" s="286"/>
      <c r="D94" s="285">
        <v>0</v>
      </c>
      <c r="E94" s="286"/>
      <c r="F94" s="286">
        <f t="shared" si="56"/>
        <v>0</v>
      </c>
      <c r="G94" s="285">
        <v>0</v>
      </c>
      <c r="H94" s="298">
        <f t="shared" si="61"/>
        <v>0</v>
      </c>
      <c r="I94" s="286">
        <f t="shared" si="57"/>
        <v>0</v>
      </c>
      <c r="J94" s="285">
        <f t="shared" si="58"/>
        <v>0</v>
      </c>
      <c r="K94" s="298">
        <f t="shared" si="59"/>
        <v>0</v>
      </c>
      <c r="L94" s="286">
        <f t="shared" si="60"/>
        <v>0</v>
      </c>
    </row>
    <row r="95" spans="1:12">
      <c r="A95" s="284"/>
      <c r="B95" s="285"/>
      <c r="C95" s="286"/>
      <c r="D95" s="285">
        <v>0</v>
      </c>
      <c r="E95" s="286"/>
      <c r="F95" s="286">
        <f t="shared" si="56"/>
        <v>0</v>
      </c>
      <c r="G95" s="285">
        <v>0</v>
      </c>
      <c r="H95" s="298">
        <f t="shared" si="61"/>
        <v>0</v>
      </c>
      <c r="I95" s="286">
        <f t="shared" si="57"/>
        <v>0</v>
      </c>
      <c r="J95" s="285">
        <f t="shared" si="58"/>
        <v>0</v>
      </c>
      <c r="K95" s="298">
        <f t="shared" si="59"/>
        <v>0</v>
      </c>
      <c r="L95" s="286">
        <f t="shared" si="60"/>
        <v>0</v>
      </c>
    </row>
    <row r="96" spans="1:12">
      <c r="A96" s="284"/>
      <c r="B96" s="285"/>
      <c r="C96" s="286"/>
      <c r="D96" s="285">
        <v>0</v>
      </c>
      <c r="E96" s="286"/>
      <c r="F96" s="286">
        <f t="shared" si="56"/>
        <v>0</v>
      </c>
      <c r="G96" s="285">
        <v>0</v>
      </c>
      <c r="H96" s="298">
        <f t="shared" si="61"/>
        <v>0</v>
      </c>
      <c r="I96" s="286">
        <f t="shared" si="57"/>
        <v>0</v>
      </c>
      <c r="J96" s="285">
        <f t="shared" si="58"/>
        <v>0</v>
      </c>
      <c r="K96" s="298">
        <f t="shared" si="59"/>
        <v>0</v>
      </c>
      <c r="L96" s="286">
        <f t="shared" si="60"/>
        <v>0</v>
      </c>
    </row>
    <row r="97" spans="1:12">
      <c r="A97" s="284"/>
      <c r="B97" s="285"/>
      <c r="C97" s="286"/>
      <c r="D97" s="285">
        <v>0</v>
      </c>
      <c r="E97" s="286"/>
      <c r="F97" s="286">
        <f t="shared" si="56"/>
        <v>0</v>
      </c>
      <c r="G97" s="285">
        <v>0</v>
      </c>
      <c r="H97" s="298">
        <f t="shared" si="61"/>
        <v>0</v>
      </c>
      <c r="I97" s="286">
        <f t="shared" si="57"/>
        <v>0</v>
      </c>
      <c r="J97" s="285">
        <f t="shared" si="58"/>
        <v>0</v>
      </c>
      <c r="K97" s="298">
        <f t="shared" si="59"/>
        <v>0</v>
      </c>
      <c r="L97" s="286">
        <f t="shared" si="60"/>
        <v>0</v>
      </c>
    </row>
    <row r="98" spans="1:12">
      <c r="A98" s="284"/>
      <c r="B98" s="285"/>
      <c r="C98" s="286"/>
      <c r="D98" s="285">
        <v>0</v>
      </c>
      <c r="E98" s="286"/>
      <c r="F98" s="286">
        <f t="shared" si="56"/>
        <v>0</v>
      </c>
      <c r="G98" s="285">
        <v>0</v>
      </c>
      <c r="H98" s="298">
        <f t="shared" si="61"/>
        <v>0</v>
      </c>
      <c r="I98" s="286">
        <f t="shared" si="57"/>
        <v>0</v>
      </c>
      <c r="J98" s="285">
        <f t="shared" si="58"/>
        <v>0</v>
      </c>
      <c r="K98" s="298">
        <f t="shared" si="59"/>
        <v>0</v>
      </c>
      <c r="L98" s="286">
        <f t="shared" si="60"/>
        <v>0</v>
      </c>
    </row>
    <row r="99" spans="1:12">
      <c r="A99" s="299"/>
      <c r="B99" s="285"/>
      <c r="C99" s="286"/>
      <c r="D99" s="285">
        <v>0</v>
      </c>
      <c r="E99" s="286"/>
      <c r="F99" s="286">
        <f t="shared" si="56"/>
        <v>0</v>
      </c>
      <c r="G99" s="285">
        <v>0</v>
      </c>
      <c r="H99" s="298">
        <f t="shared" si="61"/>
        <v>0</v>
      </c>
      <c r="I99" s="286">
        <f t="shared" si="57"/>
        <v>0</v>
      </c>
      <c r="J99" s="285">
        <f t="shared" si="58"/>
        <v>0</v>
      </c>
      <c r="K99" s="298">
        <f t="shared" si="59"/>
        <v>0</v>
      </c>
      <c r="L99" s="286">
        <f t="shared" si="60"/>
        <v>0</v>
      </c>
    </row>
    <row r="100" spans="1:12">
      <c r="A100" s="284"/>
      <c r="B100" s="285"/>
      <c r="C100" s="286"/>
      <c r="D100" s="285">
        <v>0</v>
      </c>
      <c r="E100" s="286"/>
      <c r="F100" s="286">
        <f t="shared" si="56"/>
        <v>0</v>
      </c>
      <c r="G100" s="285">
        <v>0</v>
      </c>
      <c r="H100" s="298">
        <f t="shared" si="61"/>
        <v>0</v>
      </c>
      <c r="I100" s="286">
        <f t="shared" si="57"/>
        <v>0</v>
      </c>
      <c r="J100" s="285">
        <f t="shared" si="58"/>
        <v>0</v>
      </c>
      <c r="K100" s="298">
        <f t="shared" si="59"/>
        <v>0</v>
      </c>
      <c r="L100" s="286">
        <f t="shared" si="60"/>
        <v>0</v>
      </c>
    </row>
    <row r="101" spans="1:12">
      <c r="A101" s="284"/>
      <c r="B101" s="285"/>
      <c r="C101" s="286"/>
      <c r="D101" s="285">
        <v>0</v>
      </c>
      <c r="E101" s="286"/>
      <c r="F101" s="286">
        <f t="shared" si="56"/>
        <v>0</v>
      </c>
      <c r="G101" s="285">
        <v>0</v>
      </c>
      <c r="H101" s="298">
        <f t="shared" si="61"/>
        <v>0</v>
      </c>
      <c r="I101" s="286">
        <f t="shared" si="57"/>
        <v>0</v>
      </c>
      <c r="J101" s="285">
        <f t="shared" si="58"/>
        <v>0</v>
      </c>
      <c r="K101" s="298">
        <f t="shared" si="59"/>
        <v>0</v>
      </c>
      <c r="L101" s="286">
        <f t="shared" si="60"/>
        <v>0</v>
      </c>
    </row>
    <row r="102" ht="13.5" spans="1:12">
      <c r="A102" s="284"/>
      <c r="B102" s="285"/>
      <c r="C102" s="286"/>
      <c r="D102" s="285"/>
      <c r="E102" s="286"/>
      <c r="F102" s="300" t="s">
        <v>133</v>
      </c>
      <c r="G102" s="301">
        <f>SUM(F90:F101)</f>
        <v>0</v>
      </c>
      <c r="H102" s="300" t="s">
        <v>134</v>
      </c>
      <c r="I102" s="302">
        <f>SUM(I90:I100)</f>
        <v>0</v>
      </c>
      <c r="J102" s="285"/>
      <c r="K102" s="300" t="s">
        <v>131</v>
      </c>
      <c r="L102" s="286">
        <f>L101</f>
        <v>0</v>
      </c>
    </row>
    <row r="103" spans="1:12">
      <c r="A103" s="303"/>
      <c r="B103" s="285"/>
      <c r="C103" s="286"/>
      <c r="D103" s="285"/>
      <c r="E103" s="286"/>
      <c r="F103" s="286"/>
      <c r="G103" s="285"/>
      <c r="H103" s="286"/>
      <c r="I103" s="286"/>
      <c r="J103" s="301"/>
      <c r="K103" s="286"/>
    </row>
    <row r="104" spans="1:12">
      <c r="A104" s="303"/>
      <c r="B104" s="285"/>
      <c r="C104" s="286"/>
      <c r="D104" s="285"/>
      <c r="E104" s="286"/>
      <c r="F104" s="286"/>
      <c r="G104" s="285"/>
      <c r="H104" s="286"/>
      <c r="I104" s="286"/>
      <c r="J104" s="301"/>
      <c r="K104" s="286"/>
    </row>
    <row r="105" ht="15.75" spans="1:12">
      <c r="A105" s="283" t="s">
        <v>116</v>
      </c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</row>
    <row r="106" ht="12.75" spans="1:12">
      <c r="A106" s="284" t="s">
        <v>117</v>
      </c>
      <c r="B106" s="285"/>
      <c r="C106" s="286"/>
      <c r="D106" s="285"/>
      <c r="E106" s="286"/>
      <c r="F106" s="286"/>
      <c r="G106" s="285"/>
      <c r="H106" s="286"/>
      <c r="I106" s="287" t="s">
        <v>135</v>
      </c>
      <c r="J106" s="288"/>
      <c r="K106" s="288"/>
    </row>
    <row r="107" ht="13.5" spans="1:12">
      <c r="A107" s="289" t="s">
        <v>119</v>
      </c>
      <c r="B107" s="290" t="s">
        <v>120</v>
      </c>
      <c r="C107" s="290"/>
      <c r="D107" s="291" t="s">
        <v>121</v>
      </c>
      <c r="E107" s="291"/>
      <c r="F107" s="291"/>
      <c r="G107" s="292" t="s">
        <v>122</v>
      </c>
      <c r="H107" s="292"/>
      <c r="I107" s="292"/>
      <c r="J107" s="293" t="s">
        <v>123</v>
      </c>
      <c r="K107" s="293"/>
      <c r="L107" s="293"/>
    </row>
    <row r="108" ht="13.5" spans="1:12">
      <c r="A108" s="289"/>
      <c r="B108" s="290" t="s">
        <v>124</v>
      </c>
      <c r="C108" s="294" t="s">
        <v>125</v>
      </c>
      <c r="D108" s="290" t="s">
        <v>124</v>
      </c>
      <c r="E108" s="294" t="s">
        <v>126</v>
      </c>
      <c r="F108" s="294" t="s">
        <v>127</v>
      </c>
      <c r="G108" s="290" t="s">
        <v>124</v>
      </c>
      <c r="H108" s="295" t="s">
        <v>128</v>
      </c>
      <c r="I108" s="294" t="s">
        <v>129</v>
      </c>
      <c r="J108" s="290" t="s">
        <v>130</v>
      </c>
      <c r="K108" s="296" t="s">
        <v>128</v>
      </c>
      <c r="L108" s="294" t="s">
        <v>131</v>
      </c>
    </row>
    <row r="109" ht="12.75" spans="1:12">
      <c r="A109" s="297" t="s">
        <v>140</v>
      </c>
      <c r="B109" s="285"/>
      <c r="C109" s="286">
        <f>20*B109</f>
        <v>0</v>
      </c>
      <c r="D109" s="285"/>
      <c r="E109" s="286"/>
      <c r="F109" s="286"/>
      <c r="G109" s="285"/>
      <c r="H109" s="298"/>
      <c r="I109" s="298"/>
      <c r="J109" s="285"/>
      <c r="K109" s="298"/>
      <c r="L109" s="298">
        <v>0</v>
      </c>
    </row>
    <row r="110" spans="1:12">
      <c r="A110" s="284"/>
      <c r="B110" s="285"/>
      <c r="C110" s="286"/>
      <c r="D110" s="285">
        <v>0</v>
      </c>
      <c r="E110" s="286">
        <v>0</v>
      </c>
      <c r="F110" s="286">
        <f t="shared" ref="F110:F121" si="62">D110*E110</f>
        <v>0</v>
      </c>
      <c r="G110" s="285">
        <v>0</v>
      </c>
      <c r="H110" s="298"/>
      <c r="I110" s="286">
        <f t="shared" ref="I110:I121" si="63">IF(F110=0,G110*H110,0)</f>
        <v>0</v>
      </c>
      <c r="J110" s="285">
        <f t="shared" ref="J110:J121" si="64">D110-G110+J109</f>
        <v>0</v>
      </c>
      <c r="K110" s="298">
        <f t="shared" ref="K110:K121" si="65">IF(J110=0,0,L110/J110)</f>
        <v>0</v>
      </c>
      <c r="L110" s="286">
        <f t="shared" ref="L110:L121" si="66">IF(F110=0,L109-I110,L109+F110)</f>
        <v>0</v>
      </c>
    </row>
    <row r="111" spans="1:12">
      <c r="A111" s="284"/>
      <c r="B111" s="285"/>
      <c r="C111" s="286"/>
      <c r="D111" s="285">
        <v>0</v>
      </c>
      <c r="E111" s="286"/>
      <c r="F111" s="286">
        <f t="shared" si="62"/>
        <v>0</v>
      </c>
      <c r="G111" s="285">
        <v>0</v>
      </c>
      <c r="H111" s="298">
        <f t="shared" ref="H111:H121" si="67">K110</f>
        <v>0</v>
      </c>
      <c r="I111" s="286">
        <f t="shared" si="63"/>
        <v>0</v>
      </c>
      <c r="J111" s="285">
        <f t="shared" si="64"/>
        <v>0</v>
      </c>
      <c r="K111" s="298">
        <f t="shared" si="65"/>
        <v>0</v>
      </c>
      <c r="L111" s="286">
        <f t="shared" si="66"/>
        <v>0</v>
      </c>
    </row>
    <row r="112" spans="1:12">
      <c r="A112" s="284"/>
      <c r="B112" s="285"/>
      <c r="C112" s="286"/>
      <c r="D112" s="285">
        <v>0</v>
      </c>
      <c r="E112" s="286"/>
      <c r="F112" s="286">
        <f t="shared" si="62"/>
        <v>0</v>
      </c>
      <c r="G112" s="285">
        <v>0</v>
      </c>
      <c r="H112" s="298">
        <f t="shared" si="67"/>
        <v>0</v>
      </c>
      <c r="I112" s="286">
        <f t="shared" si="63"/>
        <v>0</v>
      </c>
      <c r="J112" s="285">
        <f t="shared" si="64"/>
        <v>0</v>
      </c>
      <c r="K112" s="298">
        <f t="shared" si="65"/>
        <v>0</v>
      </c>
      <c r="L112" s="286">
        <f t="shared" si="66"/>
        <v>0</v>
      </c>
    </row>
    <row r="113" spans="1:12">
      <c r="A113" s="284"/>
      <c r="B113" s="285"/>
      <c r="C113" s="286"/>
      <c r="D113" s="285">
        <v>0</v>
      </c>
      <c r="E113" s="286"/>
      <c r="F113" s="286">
        <f t="shared" si="62"/>
        <v>0</v>
      </c>
      <c r="G113" s="285">
        <v>0</v>
      </c>
      <c r="H113" s="298">
        <f t="shared" si="67"/>
        <v>0</v>
      </c>
      <c r="I113" s="286">
        <f t="shared" si="63"/>
        <v>0</v>
      </c>
      <c r="J113" s="285">
        <f t="shared" si="64"/>
        <v>0</v>
      </c>
      <c r="K113" s="298">
        <f t="shared" si="65"/>
        <v>0</v>
      </c>
      <c r="L113" s="286">
        <f t="shared" si="66"/>
        <v>0</v>
      </c>
    </row>
    <row r="114" spans="1:12">
      <c r="A114" s="284"/>
      <c r="B114" s="285"/>
      <c r="C114" s="286"/>
      <c r="D114" s="285">
        <v>0</v>
      </c>
      <c r="E114" s="286"/>
      <c r="F114" s="286">
        <f t="shared" si="62"/>
        <v>0</v>
      </c>
      <c r="G114" s="285">
        <v>0</v>
      </c>
      <c r="H114" s="298">
        <f t="shared" si="67"/>
        <v>0</v>
      </c>
      <c r="I114" s="286">
        <f t="shared" si="63"/>
        <v>0</v>
      </c>
      <c r="J114" s="285">
        <f t="shared" si="64"/>
        <v>0</v>
      </c>
      <c r="K114" s="298">
        <f t="shared" si="65"/>
        <v>0</v>
      </c>
      <c r="L114" s="286">
        <f t="shared" si="66"/>
        <v>0</v>
      </c>
    </row>
    <row r="115" spans="1:12">
      <c r="A115" s="284"/>
      <c r="B115" s="285"/>
      <c r="C115" s="286"/>
      <c r="D115" s="285">
        <v>0</v>
      </c>
      <c r="E115" s="286"/>
      <c r="F115" s="286">
        <f t="shared" si="62"/>
        <v>0</v>
      </c>
      <c r="G115" s="285">
        <v>0</v>
      </c>
      <c r="H115" s="298">
        <f t="shared" si="67"/>
        <v>0</v>
      </c>
      <c r="I115" s="286">
        <f t="shared" si="63"/>
        <v>0</v>
      </c>
      <c r="J115" s="285">
        <f t="shared" si="64"/>
        <v>0</v>
      </c>
      <c r="K115" s="298">
        <f t="shared" si="65"/>
        <v>0</v>
      </c>
      <c r="L115" s="286">
        <f t="shared" si="66"/>
        <v>0</v>
      </c>
    </row>
    <row r="116" spans="1:12">
      <c r="A116" s="284"/>
      <c r="B116" s="285"/>
      <c r="C116" s="286"/>
      <c r="D116" s="285">
        <v>0</v>
      </c>
      <c r="E116" s="286"/>
      <c r="F116" s="286">
        <f t="shared" si="62"/>
        <v>0</v>
      </c>
      <c r="G116" s="285">
        <v>0</v>
      </c>
      <c r="H116" s="298">
        <f t="shared" si="67"/>
        <v>0</v>
      </c>
      <c r="I116" s="286">
        <f t="shared" si="63"/>
        <v>0</v>
      </c>
      <c r="J116" s="285">
        <f t="shared" si="64"/>
        <v>0</v>
      </c>
      <c r="K116" s="298">
        <f t="shared" si="65"/>
        <v>0</v>
      </c>
      <c r="L116" s="286">
        <f t="shared" si="66"/>
        <v>0</v>
      </c>
    </row>
    <row r="117" spans="1:12">
      <c r="A117" s="284"/>
      <c r="B117" s="285"/>
      <c r="C117" s="286"/>
      <c r="D117" s="285">
        <v>0</v>
      </c>
      <c r="E117" s="286"/>
      <c r="F117" s="286">
        <f t="shared" si="62"/>
        <v>0</v>
      </c>
      <c r="G117" s="285">
        <v>0</v>
      </c>
      <c r="H117" s="298">
        <f t="shared" si="67"/>
        <v>0</v>
      </c>
      <c r="I117" s="286">
        <f t="shared" si="63"/>
        <v>0</v>
      </c>
      <c r="J117" s="285">
        <f t="shared" si="64"/>
        <v>0</v>
      </c>
      <c r="K117" s="298">
        <f t="shared" si="65"/>
        <v>0</v>
      </c>
      <c r="L117" s="286">
        <f t="shared" si="66"/>
        <v>0</v>
      </c>
    </row>
    <row r="118" spans="1:12">
      <c r="A118" s="284"/>
      <c r="B118" s="285"/>
      <c r="C118" s="286"/>
      <c r="D118" s="285">
        <v>0</v>
      </c>
      <c r="E118" s="286"/>
      <c r="F118" s="286">
        <f t="shared" si="62"/>
        <v>0</v>
      </c>
      <c r="G118" s="285">
        <v>0</v>
      </c>
      <c r="H118" s="298">
        <f t="shared" si="67"/>
        <v>0</v>
      </c>
      <c r="I118" s="286">
        <f t="shared" si="63"/>
        <v>0</v>
      </c>
      <c r="J118" s="285">
        <f t="shared" si="64"/>
        <v>0</v>
      </c>
      <c r="K118" s="298">
        <f t="shared" si="65"/>
        <v>0</v>
      </c>
      <c r="L118" s="286">
        <f t="shared" si="66"/>
        <v>0</v>
      </c>
    </row>
    <row r="119" spans="1:12">
      <c r="A119" s="299"/>
      <c r="B119" s="285"/>
      <c r="C119" s="286"/>
      <c r="D119" s="285">
        <v>0</v>
      </c>
      <c r="E119" s="286"/>
      <c r="F119" s="286">
        <f t="shared" si="62"/>
        <v>0</v>
      </c>
      <c r="G119" s="285">
        <v>0</v>
      </c>
      <c r="H119" s="298">
        <f t="shared" si="67"/>
        <v>0</v>
      </c>
      <c r="I119" s="286">
        <f t="shared" si="63"/>
        <v>0</v>
      </c>
      <c r="J119" s="285">
        <f t="shared" si="64"/>
        <v>0</v>
      </c>
      <c r="K119" s="298">
        <f t="shared" si="65"/>
        <v>0</v>
      </c>
      <c r="L119" s="286">
        <f t="shared" si="66"/>
        <v>0</v>
      </c>
    </row>
    <row r="120" spans="1:12">
      <c r="A120" s="284"/>
      <c r="B120" s="285"/>
      <c r="C120" s="286"/>
      <c r="D120" s="285">
        <v>0</v>
      </c>
      <c r="E120" s="286"/>
      <c r="F120" s="286">
        <f t="shared" si="62"/>
        <v>0</v>
      </c>
      <c r="G120" s="285">
        <v>0</v>
      </c>
      <c r="H120" s="298">
        <f t="shared" si="67"/>
        <v>0</v>
      </c>
      <c r="I120" s="286">
        <f t="shared" si="63"/>
        <v>0</v>
      </c>
      <c r="J120" s="285">
        <f t="shared" si="64"/>
        <v>0</v>
      </c>
      <c r="K120" s="298">
        <f t="shared" si="65"/>
        <v>0</v>
      </c>
      <c r="L120" s="286">
        <f t="shared" si="66"/>
        <v>0</v>
      </c>
    </row>
    <row r="121" spans="1:12">
      <c r="A121" s="284"/>
      <c r="B121" s="285"/>
      <c r="C121" s="286"/>
      <c r="D121" s="285">
        <v>0</v>
      </c>
      <c r="E121" s="286"/>
      <c r="F121" s="286">
        <f t="shared" si="62"/>
        <v>0</v>
      </c>
      <c r="G121" s="285">
        <v>0</v>
      </c>
      <c r="H121" s="298">
        <f t="shared" si="67"/>
        <v>0</v>
      </c>
      <c r="I121" s="286">
        <f t="shared" si="63"/>
        <v>0</v>
      </c>
      <c r="J121" s="285">
        <f t="shared" si="64"/>
        <v>0</v>
      </c>
      <c r="K121" s="298">
        <f t="shared" si="65"/>
        <v>0</v>
      </c>
      <c r="L121" s="286">
        <f t="shared" si="66"/>
        <v>0</v>
      </c>
    </row>
    <row r="122" ht="13.5" spans="1:12">
      <c r="A122" s="284"/>
      <c r="B122" s="285"/>
      <c r="C122" s="286"/>
      <c r="D122" s="285"/>
      <c r="E122" s="286"/>
      <c r="F122" s="300" t="s">
        <v>133</v>
      </c>
      <c r="G122" s="301">
        <f>SUM(F110:F121)</f>
        <v>0</v>
      </c>
      <c r="H122" s="300" t="s">
        <v>134</v>
      </c>
      <c r="I122" s="302">
        <f>SUM(I110:I120)</f>
        <v>0</v>
      </c>
      <c r="J122" s="285"/>
      <c r="K122" s="300" t="s">
        <v>131</v>
      </c>
      <c r="L122" s="286">
        <f>L121</f>
        <v>0</v>
      </c>
    </row>
    <row r="125" ht="15.75" spans="1:12">
      <c r="A125" s="283" t="s">
        <v>116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</row>
    <row r="126" ht="12.75" spans="1:12">
      <c r="A126" s="284" t="s">
        <v>117</v>
      </c>
      <c r="B126" s="285"/>
      <c r="C126" s="286"/>
      <c r="D126" s="285"/>
      <c r="E126" s="286"/>
      <c r="F126" s="286"/>
      <c r="G126" s="285"/>
      <c r="H126" s="286"/>
      <c r="I126" s="287" t="s">
        <v>135</v>
      </c>
      <c r="J126" s="288"/>
      <c r="K126" s="288"/>
    </row>
    <row r="127" ht="13.5" spans="1:12">
      <c r="A127" s="289" t="s">
        <v>119</v>
      </c>
      <c r="B127" s="290" t="s">
        <v>120</v>
      </c>
      <c r="C127" s="290"/>
      <c r="D127" s="291" t="s">
        <v>121</v>
      </c>
      <c r="E127" s="291"/>
      <c r="F127" s="291"/>
      <c r="G127" s="292" t="s">
        <v>122</v>
      </c>
      <c r="H127" s="292"/>
      <c r="I127" s="292"/>
      <c r="J127" s="293" t="s">
        <v>123</v>
      </c>
      <c r="K127" s="293"/>
      <c r="L127" s="293"/>
    </row>
    <row r="128" ht="13.5" spans="1:12">
      <c r="A128" s="289"/>
      <c r="B128" s="290" t="s">
        <v>124</v>
      </c>
      <c r="C128" s="294" t="s">
        <v>125</v>
      </c>
      <c r="D128" s="290" t="s">
        <v>124</v>
      </c>
      <c r="E128" s="294" t="s">
        <v>126</v>
      </c>
      <c r="F128" s="294" t="s">
        <v>127</v>
      </c>
      <c r="G128" s="290" t="s">
        <v>124</v>
      </c>
      <c r="H128" s="295" t="s">
        <v>128</v>
      </c>
      <c r="I128" s="294" t="s">
        <v>129</v>
      </c>
      <c r="J128" s="290" t="s">
        <v>130</v>
      </c>
      <c r="K128" s="296" t="s">
        <v>128</v>
      </c>
      <c r="L128" s="294" t="s">
        <v>131</v>
      </c>
    </row>
    <row r="129" ht="12.75" spans="1:12">
      <c r="A129" s="297" t="s">
        <v>141</v>
      </c>
      <c r="B129" s="285"/>
      <c r="C129" s="286">
        <f>20*B129</f>
        <v>0</v>
      </c>
      <c r="D129" s="285"/>
      <c r="E129" s="286"/>
      <c r="F129" s="286"/>
      <c r="G129" s="285"/>
      <c r="H129" s="298"/>
      <c r="I129" s="298"/>
      <c r="J129" s="285"/>
      <c r="K129" s="298"/>
      <c r="L129" s="298">
        <v>0</v>
      </c>
    </row>
    <row r="130" spans="1:12">
      <c r="A130" s="284"/>
      <c r="B130" s="285"/>
      <c r="C130" s="286"/>
      <c r="D130" s="285">
        <v>0</v>
      </c>
      <c r="E130" s="286">
        <v>0</v>
      </c>
      <c r="F130" s="286">
        <f t="shared" ref="F130:F141" si="68">D130*E130</f>
        <v>0</v>
      </c>
      <c r="G130" s="285">
        <v>0</v>
      </c>
      <c r="H130" s="298"/>
      <c r="I130" s="286">
        <f t="shared" ref="I130:I141" si="69">IF(F130=0,G130*H130,0)</f>
        <v>0</v>
      </c>
      <c r="J130" s="285">
        <f t="shared" ref="J130:J141" si="70">D130-G130+J129</f>
        <v>0</v>
      </c>
      <c r="K130" s="298">
        <f t="shared" ref="K130:K141" si="71">IF(J130=0,0,L130/J130)</f>
        <v>0</v>
      </c>
      <c r="L130" s="286">
        <f t="shared" ref="L130:L141" si="72">IF(F130=0,L129-I130,L129+F130)</f>
        <v>0</v>
      </c>
    </row>
    <row r="131" spans="1:12">
      <c r="A131" s="284"/>
      <c r="B131" s="285"/>
      <c r="C131" s="286"/>
      <c r="D131" s="285">
        <v>0</v>
      </c>
      <c r="E131" s="286"/>
      <c r="F131" s="286">
        <f t="shared" si="68"/>
        <v>0</v>
      </c>
      <c r="G131" s="285">
        <v>0</v>
      </c>
      <c r="H131" s="298">
        <f t="shared" ref="H131:H141" si="73">K130</f>
        <v>0</v>
      </c>
      <c r="I131" s="286">
        <f t="shared" si="69"/>
        <v>0</v>
      </c>
      <c r="J131" s="285">
        <f t="shared" si="70"/>
        <v>0</v>
      </c>
      <c r="K131" s="298">
        <f t="shared" si="71"/>
        <v>0</v>
      </c>
      <c r="L131" s="286">
        <f t="shared" si="72"/>
        <v>0</v>
      </c>
    </row>
    <row r="132" spans="1:12">
      <c r="A132" s="284"/>
      <c r="B132" s="285"/>
      <c r="C132" s="286"/>
      <c r="D132" s="285">
        <v>0</v>
      </c>
      <c r="E132" s="286"/>
      <c r="F132" s="286">
        <f t="shared" si="68"/>
        <v>0</v>
      </c>
      <c r="G132" s="285">
        <v>0</v>
      </c>
      <c r="H132" s="298">
        <f t="shared" si="73"/>
        <v>0</v>
      </c>
      <c r="I132" s="286">
        <f t="shared" si="69"/>
        <v>0</v>
      </c>
      <c r="J132" s="285">
        <f t="shared" si="70"/>
        <v>0</v>
      </c>
      <c r="K132" s="298">
        <f t="shared" si="71"/>
        <v>0</v>
      </c>
      <c r="L132" s="286">
        <f t="shared" si="72"/>
        <v>0</v>
      </c>
    </row>
    <row r="133" spans="1:12">
      <c r="A133" s="284"/>
      <c r="B133" s="285"/>
      <c r="C133" s="286"/>
      <c r="D133" s="285">
        <v>0</v>
      </c>
      <c r="E133" s="286"/>
      <c r="F133" s="286">
        <f t="shared" si="68"/>
        <v>0</v>
      </c>
      <c r="G133" s="285">
        <v>0</v>
      </c>
      <c r="H133" s="298">
        <f t="shared" si="73"/>
        <v>0</v>
      </c>
      <c r="I133" s="286">
        <f t="shared" si="69"/>
        <v>0</v>
      </c>
      <c r="J133" s="285">
        <f t="shared" si="70"/>
        <v>0</v>
      </c>
      <c r="K133" s="298">
        <f t="shared" si="71"/>
        <v>0</v>
      </c>
      <c r="L133" s="286">
        <f t="shared" si="72"/>
        <v>0</v>
      </c>
    </row>
    <row r="134" spans="1:12">
      <c r="A134" s="284"/>
      <c r="B134" s="285"/>
      <c r="C134" s="286"/>
      <c r="D134" s="285">
        <v>0</v>
      </c>
      <c r="E134" s="286"/>
      <c r="F134" s="286">
        <f t="shared" si="68"/>
        <v>0</v>
      </c>
      <c r="G134" s="285">
        <v>0</v>
      </c>
      <c r="H134" s="298">
        <f t="shared" si="73"/>
        <v>0</v>
      </c>
      <c r="I134" s="286">
        <f t="shared" si="69"/>
        <v>0</v>
      </c>
      <c r="J134" s="285">
        <f t="shared" si="70"/>
        <v>0</v>
      </c>
      <c r="K134" s="298">
        <f t="shared" si="71"/>
        <v>0</v>
      </c>
      <c r="L134" s="286">
        <f t="shared" si="72"/>
        <v>0</v>
      </c>
    </row>
    <row r="135" spans="1:12">
      <c r="A135" s="284"/>
      <c r="B135" s="285"/>
      <c r="C135" s="286"/>
      <c r="D135" s="285">
        <v>0</v>
      </c>
      <c r="E135" s="286"/>
      <c r="F135" s="286">
        <f t="shared" si="68"/>
        <v>0</v>
      </c>
      <c r="G135" s="285">
        <v>0</v>
      </c>
      <c r="H135" s="298">
        <f t="shared" si="73"/>
        <v>0</v>
      </c>
      <c r="I135" s="286">
        <f t="shared" si="69"/>
        <v>0</v>
      </c>
      <c r="J135" s="285">
        <f t="shared" si="70"/>
        <v>0</v>
      </c>
      <c r="K135" s="298">
        <f t="shared" si="71"/>
        <v>0</v>
      </c>
      <c r="L135" s="286">
        <f t="shared" si="72"/>
        <v>0</v>
      </c>
    </row>
    <row r="136" spans="1:12">
      <c r="A136" s="284"/>
      <c r="B136" s="285"/>
      <c r="C136" s="286"/>
      <c r="D136" s="285">
        <v>0</v>
      </c>
      <c r="E136" s="286"/>
      <c r="F136" s="286">
        <f t="shared" si="68"/>
        <v>0</v>
      </c>
      <c r="G136" s="285">
        <v>0</v>
      </c>
      <c r="H136" s="298">
        <f t="shared" si="73"/>
        <v>0</v>
      </c>
      <c r="I136" s="286">
        <f t="shared" si="69"/>
        <v>0</v>
      </c>
      <c r="J136" s="285">
        <f t="shared" si="70"/>
        <v>0</v>
      </c>
      <c r="K136" s="298">
        <f t="shared" si="71"/>
        <v>0</v>
      </c>
      <c r="L136" s="286">
        <f t="shared" si="72"/>
        <v>0</v>
      </c>
    </row>
    <row r="137" spans="1:12">
      <c r="A137" s="284"/>
      <c r="B137" s="285"/>
      <c r="C137" s="286"/>
      <c r="D137" s="285">
        <v>0</v>
      </c>
      <c r="E137" s="286"/>
      <c r="F137" s="286">
        <f t="shared" si="68"/>
        <v>0</v>
      </c>
      <c r="G137" s="285">
        <v>0</v>
      </c>
      <c r="H137" s="298">
        <f t="shared" si="73"/>
        <v>0</v>
      </c>
      <c r="I137" s="286">
        <f t="shared" si="69"/>
        <v>0</v>
      </c>
      <c r="J137" s="285">
        <f t="shared" si="70"/>
        <v>0</v>
      </c>
      <c r="K137" s="298">
        <f t="shared" si="71"/>
        <v>0</v>
      </c>
      <c r="L137" s="286">
        <f t="shared" si="72"/>
        <v>0</v>
      </c>
    </row>
    <row r="138" spans="1:12">
      <c r="A138" s="284"/>
      <c r="B138" s="285"/>
      <c r="C138" s="286"/>
      <c r="D138" s="285">
        <v>0</v>
      </c>
      <c r="E138" s="286"/>
      <c r="F138" s="286">
        <f t="shared" si="68"/>
        <v>0</v>
      </c>
      <c r="G138" s="285">
        <v>0</v>
      </c>
      <c r="H138" s="298">
        <f t="shared" si="73"/>
        <v>0</v>
      </c>
      <c r="I138" s="286">
        <f t="shared" si="69"/>
        <v>0</v>
      </c>
      <c r="J138" s="285">
        <f t="shared" si="70"/>
        <v>0</v>
      </c>
      <c r="K138" s="298">
        <f t="shared" si="71"/>
        <v>0</v>
      </c>
      <c r="L138" s="286">
        <f t="shared" si="72"/>
        <v>0</v>
      </c>
    </row>
    <row r="139" spans="1:12">
      <c r="A139" s="299"/>
      <c r="B139" s="285"/>
      <c r="C139" s="286"/>
      <c r="D139" s="285">
        <v>0</v>
      </c>
      <c r="E139" s="286"/>
      <c r="F139" s="286">
        <f t="shared" si="68"/>
        <v>0</v>
      </c>
      <c r="G139" s="285">
        <v>0</v>
      </c>
      <c r="H139" s="298">
        <f t="shared" si="73"/>
        <v>0</v>
      </c>
      <c r="I139" s="286">
        <f t="shared" si="69"/>
        <v>0</v>
      </c>
      <c r="J139" s="285">
        <f t="shared" si="70"/>
        <v>0</v>
      </c>
      <c r="K139" s="298">
        <f t="shared" si="71"/>
        <v>0</v>
      </c>
      <c r="L139" s="286">
        <f t="shared" si="72"/>
        <v>0</v>
      </c>
    </row>
    <row r="140" spans="1:12">
      <c r="A140" s="284"/>
      <c r="B140" s="285"/>
      <c r="C140" s="286"/>
      <c r="D140" s="285">
        <v>0</v>
      </c>
      <c r="E140" s="286"/>
      <c r="F140" s="286">
        <f t="shared" si="68"/>
        <v>0</v>
      </c>
      <c r="G140" s="285">
        <v>0</v>
      </c>
      <c r="H140" s="298">
        <f t="shared" si="73"/>
        <v>0</v>
      </c>
      <c r="I140" s="286">
        <f t="shared" si="69"/>
        <v>0</v>
      </c>
      <c r="J140" s="285">
        <f t="shared" si="70"/>
        <v>0</v>
      </c>
      <c r="K140" s="298">
        <f t="shared" si="71"/>
        <v>0</v>
      </c>
      <c r="L140" s="286">
        <f t="shared" si="72"/>
        <v>0</v>
      </c>
    </row>
    <row r="141" spans="1:12">
      <c r="A141" s="284"/>
      <c r="B141" s="285"/>
      <c r="C141" s="286"/>
      <c r="D141" s="285">
        <v>0</v>
      </c>
      <c r="E141" s="286"/>
      <c r="F141" s="286">
        <f t="shared" si="68"/>
        <v>0</v>
      </c>
      <c r="G141" s="285">
        <v>0</v>
      </c>
      <c r="H141" s="298">
        <f t="shared" si="73"/>
        <v>0</v>
      </c>
      <c r="I141" s="286">
        <f t="shared" si="69"/>
        <v>0</v>
      </c>
      <c r="J141" s="285">
        <f t="shared" si="70"/>
        <v>0</v>
      </c>
      <c r="K141" s="298">
        <f t="shared" si="71"/>
        <v>0</v>
      </c>
      <c r="L141" s="286">
        <f t="shared" si="72"/>
        <v>0</v>
      </c>
    </row>
    <row r="142" ht="13.5" spans="1:12">
      <c r="A142" s="284"/>
      <c r="B142" s="285"/>
      <c r="C142" s="286"/>
      <c r="D142" s="285"/>
      <c r="E142" s="286"/>
      <c r="F142" s="300" t="s">
        <v>133</v>
      </c>
      <c r="G142" s="301">
        <f>SUM(F130:F141)</f>
        <v>0</v>
      </c>
      <c r="H142" s="300" t="s">
        <v>134</v>
      </c>
      <c r="I142" s="302">
        <f>SUM(I130:I140)</f>
        <v>0</v>
      </c>
      <c r="J142" s="285"/>
      <c r="K142" s="300" t="s">
        <v>131</v>
      </c>
      <c r="L142" s="286">
        <f>L141</f>
        <v>0</v>
      </c>
    </row>
    <row r="145" ht="15.75" spans="1:12">
      <c r="A145" s="283" t="s">
        <v>116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</row>
    <row r="146" ht="12.75" spans="1:12">
      <c r="A146" s="284" t="s">
        <v>117</v>
      </c>
      <c r="B146" s="285"/>
      <c r="C146" s="286"/>
      <c r="D146" s="285"/>
      <c r="E146" s="286"/>
      <c r="F146" s="286"/>
      <c r="G146" s="285"/>
      <c r="H146" s="286"/>
      <c r="I146" s="287" t="s">
        <v>135</v>
      </c>
      <c r="J146" s="288"/>
      <c r="K146" s="288"/>
    </row>
    <row r="147" ht="13.5" spans="1:12">
      <c r="A147" s="289" t="s">
        <v>119</v>
      </c>
      <c r="B147" s="290" t="s">
        <v>120</v>
      </c>
      <c r="C147" s="290"/>
      <c r="D147" s="291" t="s">
        <v>121</v>
      </c>
      <c r="E147" s="291"/>
      <c r="F147" s="291"/>
      <c r="G147" s="292" t="s">
        <v>122</v>
      </c>
      <c r="H147" s="292"/>
      <c r="I147" s="292"/>
      <c r="J147" s="293" t="s">
        <v>123</v>
      </c>
      <c r="K147" s="293"/>
      <c r="L147" s="293"/>
    </row>
    <row r="148" ht="13.5" spans="1:12">
      <c r="A148" s="289"/>
      <c r="B148" s="290" t="s">
        <v>124</v>
      </c>
      <c r="C148" s="294" t="s">
        <v>125</v>
      </c>
      <c r="D148" s="290" t="s">
        <v>124</v>
      </c>
      <c r="E148" s="294" t="s">
        <v>126</v>
      </c>
      <c r="F148" s="294" t="s">
        <v>127</v>
      </c>
      <c r="G148" s="290" t="s">
        <v>124</v>
      </c>
      <c r="H148" s="295" t="s">
        <v>128</v>
      </c>
      <c r="I148" s="294" t="s">
        <v>129</v>
      </c>
      <c r="J148" s="290" t="s">
        <v>130</v>
      </c>
      <c r="K148" s="296" t="s">
        <v>128</v>
      </c>
      <c r="L148" s="294" t="s">
        <v>131</v>
      </c>
    </row>
    <row r="149" ht="12.75" spans="1:12">
      <c r="A149" s="297" t="s">
        <v>142</v>
      </c>
      <c r="B149" s="285"/>
      <c r="C149" s="286">
        <f>20*B149</f>
        <v>0</v>
      </c>
      <c r="D149" s="285"/>
      <c r="E149" s="286"/>
      <c r="F149" s="286"/>
      <c r="G149" s="285"/>
      <c r="H149" s="298"/>
      <c r="I149" s="298"/>
      <c r="J149" s="285"/>
      <c r="K149" s="298"/>
      <c r="L149" s="298">
        <v>0</v>
      </c>
    </row>
    <row r="150" spans="1:12">
      <c r="A150" s="284"/>
      <c r="B150" s="285"/>
      <c r="C150" s="286"/>
      <c r="D150" s="285">
        <v>0</v>
      </c>
      <c r="E150" s="286">
        <v>0</v>
      </c>
      <c r="F150" s="286">
        <f t="shared" ref="F150:F161" si="74">D150*E150</f>
        <v>0</v>
      </c>
      <c r="G150" s="285">
        <v>0</v>
      </c>
      <c r="H150" s="298"/>
      <c r="I150" s="286">
        <f t="shared" ref="I150:I161" si="75">IF(F150=0,G150*H150,0)</f>
        <v>0</v>
      </c>
      <c r="J150" s="285">
        <f t="shared" ref="J150:J161" si="76">D150-G150+J149</f>
        <v>0</v>
      </c>
      <c r="K150" s="298">
        <f t="shared" ref="K150:K161" si="77">IF(J150=0,0,L150/J150)</f>
        <v>0</v>
      </c>
      <c r="L150" s="286">
        <f t="shared" ref="L150:L161" si="78">IF(F150=0,L149-I150,L149+F150)</f>
        <v>0</v>
      </c>
    </row>
    <row r="151" spans="1:12">
      <c r="A151" s="284"/>
      <c r="B151" s="285"/>
      <c r="C151" s="286"/>
      <c r="D151" s="285">
        <v>0</v>
      </c>
      <c r="E151" s="286"/>
      <c r="F151" s="286">
        <f t="shared" si="74"/>
        <v>0</v>
      </c>
      <c r="G151" s="285">
        <v>0</v>
      </c>
      <c r="H151" s="298">
        <f t="shared" ref="H151:H161" si="79">K150</f>
        <v>0</v>
      </c>
      <c r="I151" s="286">
        <f t="shared" si="75"/>
        <v>0</v>
      </c>
      <c r="J151" s="285">
        <f t="shared" si="76"/>
        <v>0</v>
      </c>
      <c r="K151" s="298">
        <f t="shared" si="77"/>
        <v>0</v>
      </c>
      <c r="L151" s="286">
        <f t="shared" si="78"/>
        <v>0</v>
      </c>
    </row>
    <row r="152" spans="1:12">
      <c r="A152" s="284"/>
      <c r="B152" s="285"/>
      <c r="C152" s="286"/>
      <c r="D152" s="285">
        <v>0</v>
      </c>
      <c r="E152" s="286"/>
      <c r="F152" s="286">
        <f t="shared" si="74"/>
        <v>0</v>
      </c>
      <c r="G152" s="285">
        <v>0</v>
      </c>
      <c r="H152" s="298">
        <f t="shared" si="79"/>
        <v>0</v>
      </c>
      <c r="I152" s="286">
        <f t="shared" si="75"/>
        <v>0</v>
      </c>
      <c r="J152" s="285">
        <f t="shared" si="76"/>
        <v>0</v>
      </c>
      <c r="K152" s="298">
        <f t="shared" si="77"/>
        <v>0</v>
      </c>
      <c r="L152" s="286">
        <f t="shared" si="78"/>
        <v>0</v>
      </c>
    </row>
    <row r="153" spans="1:12">
      <c r="A153" s="284"/>
      <c r="B153" s="285"/>
      <c r="C153" s="286"/>
      <c r="D153" s="285">
        <v>0</v>
      </c>
      <c r="E153" s="286"/>
      <c r="F153" s="286">
        <f t="shared" si="74"/>
        <v>0</v>
      </c>
      <c r="G153" s="285">
        <v>0</v>
      </c>
      <c r="H153" s="298">
        <f t="shared" si="79"/>
        <v>0</v>
      </c>
      <c r="I153" s="286">
        <f t="shared" si="75"/>
        <v>0</v>
      </c>
      <c r="J153" s="285">
        <f t="shared" si="76"/>
        <v>0</v>
      </c>
      <c r="K153" s="298">
        <f t="shared" si="77"/>
        <v>0</v>
      </c>
      <c r="L153" s="286">
        <f t="shared" si="78"/>
        <v>0</v>
      </c>
    </row>
    <row r="154" spans="1:12">
      <c r="A154" s="284"/>
      <c r="B154" s="285"/>
      <c r="C154" s="286"/>
      <c r="D154" s="285">
        <v>0</v>
      </c>
      <c r="E154" s="286"/>
      <c r="F154" s="286">
        <f t="shared" si="74"/>
        <v>0</v>
      </c>
      <c r="G154" s="285">
        <v>0</v>
      </c>
      <c r="H154" s="298">
        <f t="shared" si="79"/>
        <v>0</v>
      </c>
      <c r="I154" s="286">
        <f t="shared" si="75"/>
        <v>0</v>
      </c>
      <c r="J154" s="285">
        <f t="shared" si="76"/>
        <v>0</v>
      </c>
      <c r="K154" s="298">
        <f t="shared" si="77"/>
        <v>0</v>
      </c>
      <c r="L154" s="286">
        <f t="shared" si="78"/>
        <v>0</v>
      </c>
    </row>
    <row r="155" spans="1:12">
      <c r="A155" s="284"/>
      <c r="B155" s="285"/>
      <c r="C155" s="286"/>
      <c r="D155" s="285">
        <v>0</v>
      </c>
      <c r="E155" s="286"/>
      <c r="F155" s="286">
        <f t="shared" si="74"/>
        <v>0</v>
      </c>
      <c r="G155" s="285">
        <v>0</v>
      </c>
      <c r="H155" s="298">
        <f t="shared" si="79"/>
        <v>0</v>
      </c>
      <c r="I155" s="286">
        <f t="shared" si="75"/>
        <v>0</v>
      </c>
      <c r="J155" s="285">
        <f t="shared" si="76"/>
        <v>0</v>
      </c>
      <c r="K155" s="298">
        <f t="shared" si="77"/>
        <v>0</v>
      </c>
      <c r="L155" s="286">
        <f t="shared" si="78"/>
        <v>0</v>
      </c>
    </row>
    <row r="156" spans="1:12">
      <c r="A156" s="284"/>
      <c r="B156" s="285"/>
      <c r="C156" s="286"/>
      <c r="D156" s="285">
        <v>0</v>
      </c>
      <c r="E156" s="286"/>
      <c r="F156" s="286">
        <f t="shared" si="74"/>
        <v>0</v>
      </c>
      <c r="G156" s="285">
        <v>0</v>
      </c>
      <c r="H156" s="298">
        <f t="shared" si="79"/>
        <v>0</v>
      </c>
      <c r="I156" s="286">
        <f t="shared" si="75"/>
        <v>0</v>
      </c>
      <c r="J156" s="285">
        <f t="shared" si="76"/>
        <v>0</v>
      </c>
      <c r="K156" s="298">
        <f t="shared" si="77"/>
        <v>0</v>
      </c>
      <c r="L156" s="286">
        <f t="shared" si="78"/>
        <v>0</v>
      </c>
    </row>
    <row r="157" spans="1:12">
      <c r="A157" s="284"/>
      <c r="B157" s="285"/>
      <c r="C157" s="286"/>
      <c r="D157" s="285">
        <v>0</v>
      </c>
      <c r="E157" s="286"/>
      <c r="F157" s="286">
        <f t="shared" si="74"/>
        <v>0</v>
      </c>
      <c r="G157" s="285">
        <v>0</v>
      </c>
      <c r="H157" s="298">
        <f t="shared" si="79"/>
        <v>0</v>
      </c>
      <c r="I157" s="286">
        <f t="shared" si="75"/>
        <v>0</v>
      </c>
      <c r="J157" s="285">
        <f t="shared" si="76"/>
        <v>0</v>
      </c>
      <c r="K157" s="298">
        <f t="shared" si="77"/>
        <v>0</v>
      </c>
      <c r="L157" s="286">
        <f t="shared" si="78"/>
        <v>0</v>
      </c>
    </row>
    <row r="158" spans="1:12">
      <c r="A158" s="284"/>
      <c r="B158" s="285"/>
      <c r="C158" s="286"/>
      <c r="D158" s="285">
        <v>0</v>
      </c>
      <c r="E158" s="286"/>
      <c r="F158" s="286">
        <f t="shared" si="74"/>
        <v>0</v>
      </c>
      <c r="G158" s="285">
        <v>0</v>
      </c>
      <c r="H158" s="298">
        <f t="shared" si="79"/>
        <v>0</v>
      </c>
      <c r="I158" s="286">
        <f t="shared" si="75"/>
        <v>0</v>
      </c>
      <c r="J158" s="285">
        <f t="shared" si="76"/>
        <v>0</v>
      </c>
      <c r="K158" s="298">
        <f t="shared" si="77"/>
        <v>0</v>
      </c>
      <c r="L158" s="286">
        <f t="shared" si="78"/>
        <v>0</v>
      </c>
    </row>
    <row r="159" spans="1:12">
      <c r="A159" s="299"/>
      <c r="B159" s="285"/>
      <c r="C159" s="286"/>
      <c r="D159" s="285">
        <v>0</v>
      </c>
      <c r="E159" s="286"/>
      <c r="F159" s="286">
        <f t="shared" si="74"/>
        <v>0</v>
      </c>
      <c r="G159" s="285">
        <v>0</v>
      </c>
      <c r="H159" s="298">
        <f t="shared" si="79"/>
        <v>0</v>
      </c>
      <c r="I159" s="286">
        <f t="shared" si="75"/>
        <v>0</v>
      </c>
      <c r="J159" s="285">
        <f t="shared" si="76"/>
        <v>0</v>
      </c>
      <c r="K159" s="298">
        <f t="shared" si="77"/>
        <v>0</v>
      </c>
      <c r="L159" s="286">
        <f t="shared" si="78"/>
        <v>0</v>
      </c>
    </row>
    <row r="160" spans="1:12">
      <c r="A160" s="284"/>
      <c r="B160" s="285"/>
      <c r="C160" s="286"/>
      <c r="D160" s="285">
        <v>0</v>
      </c>
      <c r="E160" s="286"/>
      <c r="F160" s="286">
        <f t="shared" si="74"/>
        <v>0</v>
      </c>
      <c r="G160" s="285">
        <v>0</v>
      </c>
      <c r="H160" s="298">
        <f t="shared" si="79"/>
        <v>0</v>
      </c>
      <c r="I160" s="286">
        <f t="shared" si="75"/>
        <v>0</v>
      </c>
      <c r="J160" s="285">
        <f t="shared" si="76"/>
        <v>0</v>
      </c>
      <c r="K160" s="298">
        <f t="shared" si="77"/>
        <v>0</v>
      </c>
      <c r="L160" s="286">
        <f t="shared" si="78"/>
        <v>0</v>
      </c>
    </row>
    <row r="161" spans="1:12">
      <c r="A161" s="284"/>
      <c r="B161" s="285"/>
      <c r="C161" s="286"/>
      <c r="D161" s="285">
        <v>0</v>
      </c>
      <c r="E161" s="286"/>
      <c r="F161" s="286">
        <f t="shared" si="74"/>
        <v>0</v>
      </c>
      <c r="G161" s="285">
        <v>0</v>
      </c>
      <c r="H161" s="298">
        <f t="shared" si="79"/>
        <v>0</v>
      </c>
      <c r="I161" s="286">
        <f t="shared" si="75"/>
        <v>0</v>
      </c>
      <c r="J161" s="285">
        <f t="shared" si="76"/>
        <v>0</v>
      </c>
      <c r="K161" s="298">
        <f t="shared" si="77"/>
        <v>0</v>
      </c>
      <c r="L161" s="286">
        <f t="shared" si="78"/>
        <v>0</v>
      </c>
    </row>
    <row r="162" ht="13.5" spans="1:12">
      <c r="A162" s="284"/>
      <c r="B162" s="285"/>
      <c r="C162" s="286"/>
      <c r="D162" s="285"/>
      <c r="E162" s="286"/>
      <c r="F162" s="300" t="s">
        <v>133</v>
      </c>
      <c r="G162" s="301">
        <f>SUM(F150:F161)</f>
        <v>0</v>
      </c>
      <c r="H162" s="300" t="s">
        <v>134</v>
      </c>
      <c r="I162" s="302">
        <f>SUM(I150:I160)</f>
        <v>0</v>
      </c>
      <c r="J162" s="285"/>
      <c r="K162" s="300" t="s">
        <v>131</v>
      </c>
      <c r="L162" s="286">
        <f>L161</f>
        <v>0</v>
      </c>
    </row>
    <row r="165" ht="15.75" spans="1:12">
      <c r="A165" s="283" t="s">
        <v>116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</row>
    <row r="166" ht="12.75" spans="1:12">
      <c r="A166" s="284" t="s">
        <v>117</v>
      </c>
      <c r="B166" s="285"/>
      <c r="C166" s="286"/>
      <c r="D166" s="285"/>
      <c r="E166" s="286"/>
      <c r="F166" s="286"/>
      <c r="G166" s="285"/>
      <c r="H166" s="286"/>
      <c r="I166" s="287" t="s">
        <v>135</v>
      </c>
      <c r="J166" s="288"/>
      <c r="K166" s="288"/>
    </row>
    <row r="167" ht="13.5" spans="1:12">
      <c r="A167" s="289" t="s">
        <v>119</v>
      </c>
      <c r="B167" s="290" t="s">
        <v>120</v>
      </c>
      <c r="C167" s="290"/>
      <c r="D167" s="291" t="s">
        <v>121</v>
      </c>
      <c r="E167" s="291"/>
      <c r="F167" s="291"/>
      <c r="G167" s="292" t="s">
        <v>122</v>
      </c>
      <c r="H167" s="292"/>
      <c r="I167" s="292"/>
      <c r="J167" s="293" t="s">
        <v>123</v>
      </c>
      <c r="K167" s="293"/>
      <c r="L167" s="293"/>
    </row>
    <row r="168" ht="13.5" spans="1:12">
      <c r="A168" s="289"/>
      <c r="B168" s="290" t="s">
        <v>124</v>
      </c>
      <c r="C168" s="294" t="s">
        <v>125</v>
      </c>
      <c r="D168" s="290" t="s">
        <v>124</v>
      </c>
      <c r="E168" s="294" t="s">
        <v>126</v>
      </c>
      <c r="F168" s="294" t="s">
        <v>127</v>
      </c>
      <c r="G168" s="290" t="s">
        <v>124</v>
      </c>
      <c r="H168" s="295" t="s">
        <v>128</v>
      </c>
      <c r="I168" s="294" t="s">
        <v>129</v>
      </c>
      <c r="J168" s="290" t="s">
        <v>130</v>
      </c>
      <c r="K168" s="296" t="s">
        <v>128</v>
      </c>
      <c r="L168" s="294" t="s">
        <v>131</v>
      </c>
    </row>
    <row r="169" ht="12.75" spans="1:12">
      <c r="A169" s="297" t="s">
        <v>143</v>
      </c>
      <c r="B169" s="285"/>
      <c r="C169" s="286">
        <f>20*B169</f>
        <v>0</v>
      </c>
      <c r="D169" s="285"/>
      <c r="E169" s="286"/>
      <c r="F169" s="286"/>
      <c r="G169" s="285"/>
      <c r="H169" s="298"/>
      <c r="I169" s="298"/>
      <c r="J169" s="285"/>
      <c r="K169" s="298"/>
      <c r="L169" s="298">
        <v>0</v>
      </c>
    </row>
    <row r="170" spans="1:12">
      <c r="A170" s="284"/>
      <c r="B170" s="285"/>
      <c r="C170" s="286"/>
      <c r="D170" s="285">
        <v>0</v>
      </c>
      <c r="E170" s="286">
        <v>0</v>
      </c>
      <c r="F170" s="286">
        <f t="shared" ref="F170:F181" si="80">D170*E170</f>
        <v>0</v>
      </c>
      <c r="G170" s="285">
        <v>0</v>
      </c>
      <c r="H170" s="298"/>
      <c r="I170" s="286">
        <f t="shared" ref="I170:I181" si="81">IF(F170=0,G170*H170,0)</f>
        <v>0</v>
      </c>
      <c r="J170" s="285">
        <f t="shared" ref="J170:J181" si="82">D170-G170+J169</f>
        <v>0</v>
      </c>
      <c r="K170" s="298">
        <f t="shared" ref="K170:K181" si="83">IF(J170=0,0,L170/J170)</f>
        <v>0</v>
      </c>
      <c r="L170" s="286">
        <f t="shared" ref="L170:L181" si="84">IF(F170=0,L169-I170,L169+F170)</f>
        <v>0</v>
      </c>
    </row>
    <row r="171" spans="1:12">
      <c r="A171" s="284"/>
      <c r="B171" s="285"/>
      <c r="C171" s="286"/>
      <c r="D171" s="285">
        <v>0</v>
      </c>
      <c r="E171" s="286"/>
      <c r="F171" s="286">
        <f t="shared" si="80"/>
        <v>0</v>
      </c>
      <c r="G171" s="285">
        <v>0</v>
      </c>
      <c r="H171" s="298">
        <f t="shared" ref="H171:H181" si="85">K170</f>
        <v>0</v>
      </c>
      <c r="I171" s="286">
        <f t="shared" si="81"/>
        <v>0</v>
      </c>
      <c r="J171" s="285">
        <f t="shared" si="82"/>
        <v>0</v>
      </c>
      <c r="K171" s="298">
        <f t="shared" si="83"/>
        <v>0</v>
      </c>
      <c r="L171" s="286">
        <f t="shared" si="84"/>
        <v>0</v>
      </c>
    </row>
    <row r="172" spans="1:12">
      <c r="A172" s="284"/>
      <c r="B172" s="285"/>
      <c r="C172" s="286"/>
      <c r="D172" s="285">
        <v>0</v>
      </c>
      <c r="E172" s="286"/>
      <c r="F172" s="286">
        <f t="shared" si="80"/>
        <v>0</v>
      </c>
      <c r="G172" s="285">
        <v>0</v>
      </c>
      <c r="H172" s="298">
        <f t="shared" si="85"/>
        <v>0</v>
      </c>
      <c r="I172" s="286">
        <f t="shared" si="81"/>
        <v>0</v>
      </c>
      <c r="J172" s="285">
        <f t="shared" si="82"/>
        <v>0</v>
      </c>
      <c r="K172" s="298">
        <f t="shared" si="83"/>
        <v>0</v>
      </c>
      <c r="L172" s="286">
        <f t="shared" si="84"/>
        <v>0</v>
      </c>
    </row>
    <row r="173" spans="1:12">
      <c r="A173" s="284"/>
      <c r="B173" s="285"/>
      <c r="C173" s="286"/>
      <c r="D173" s="285">
        <v>0</v>
      </c>
      <c r="E173" s="286"/>
      <c r="F173" s="286">
        <f t="shared" si="80"/>
        <v>0</v>
      </c>
      <c r="G173" s="285">
        <v>0</v>
      </c>
      <c r="H173" s="298">
        <f t="shared" si="85"/>
        <v>0</v>
      </c>
      <c r="I173" s="286">
        <f t="shared" si="81"/>
        <v>0</v>
      </c>
      <c r="J173" s="285">
        <f t="shared" si="82"/>
        <v>0</v>
      </c>
      <c r="K173" s="298">
        <f t="shared" si="83"/>
        <v>0</v>
      </c>
      <c r="L173" s="286">
        <f t="shared" si="84"/>
        <v>0</v>
      </c>
    </row>
    <row r="174" spans="1:12">
      <c r="A174" s="284"/>
      <c r="B174" s="285"/>
      <c r="C174" s="286"/>
      <c r="D174" s="285">
        <v>0</v>
      </c>
      <c r="E174" s="286"/>
      <c r="F174" s="286">
        <f t="shared" si="80"/>
        <v>0</v>
      </c>
      <c r="G174" s="285">
        <v>0</v>
      </c>
      <c r="H174" s="298">
        <f t="shared" si="85"/>
        <v>0</v>
      </c>
      <c r="I174" s="286">
        <f t="shared" si="81"/>
        <v>0</v>
      </c>
      <c r="J174" s="285">
        <f t="shared" si="82"/>
        <v>0</v>
      </c>
      <c r="K174" s="298">
        <f t="shared" si="83"/>
        <v>0</v>
      </c>
      <c r="L174" s="286">
        <f t="shared" si="84"/>
        <v>0</v>
      </c>
    </row>
    <row r="175" spans="1:12">
      <c r="A175" s="284"/>
      <c r="B175" s="285"/>
      <c r="C175" s="286"/>
      <c r="D175" s="285">
        <v>0</v>
      </c>
      <c r="E175" s="286"/>
      <c r="F175" s="286">
        <f t="shared" si="80"/>
        <v>0</v>
      </c>
      <c r="G175" s="285">
        <v>0</v>
      </c>
      <c r="H175" s="298">
        <f t="shared" si="85"/>
        <v>0</v>
      </c>
      <c r="I175" s="286">
        <f t="shared" si="81"/>
        <v>0</v>
      </c>
      <c r="J175" s="285">
        <f t="shared" si="82"/>
        <v>0</v>
      </c>
      <c r="K175" s="298">
        <f t="shared" si="83"/>
        <v>0</v>
      </c>
      <c r="L175" s="286">
        <f t="shared" si="84"/>
        <v>0</v>
      </c>
    </row>
    <row r="176" spans="1:12">
      <c r="A176" s="284"/>
      <c r="B176" s="285"/>
      <c r="C176" s="286"/>
      <c r="D176" s="285">
        <v>0</v>
      </c>
      <c r="E176" s="286"/>
      <c r="F176" s="286">
        <f t="shared" si="80"/>
        <v>0</v>
      </c>
      <c r="G176" s="285">
        <v>0</v>
      </c>
      <c r="H176" s="298">
        <f t="shared" si="85"/>
        <v>0</v>
      </c>
      <c r="I176" s="286">
        <f t="shared" si="81"/>
        <v>0</v>
      </c>
      <c r="J176" s="285">
        <f t="shared" si="82"/>
        <v>0</v>
      </c>
      <c r="K176" s="298">
        <f t="shared" si="83"/>
        <v>0</v>
      </c>
      <c r="L176" s="286">
        <f t="shared" si="84"/>
        <v>0</v>
      </c>
    </row>
    <row r="177" spans="1:12">
      <c r="A177" s="284"/>
      <c r="B177" s="285"/>
      <c r="C177" s="286"/>
      <c r="D177" s="285">
        <v>0</v>
      </c>
      <c r="E177" s="286"/>
      <c r="F177" s="286">
        <f t="shared" si="80"/>
        <v>0</v>
      </c>
      <c r="G177" s="285">
        <v>0</v>
      </c>
      <c r="H177" s="298">
        <f t="shared" si="85"/>
        <v>0</v>
      </c>
      <c r="I177" s="286">
        <f t="shared" si="81"/>
        <v>0</v>
      </c>
      <c r="J177" s="285">
        <f t="shared" si="82"/>
        <v>0</v>
      </c>
      <c r="K177" s="298">
        <f t="shared" si="83"/>
        <v>0</v>
      </c>
      <c r="L177" s="286">
        <f t="shared" si="84"/>
        <v>0</v>
      </c>
    </row>
    <row r="178" spans="1:12">
      <c r="A178" s="284"/>
      <c r="B178" s="285"/>
      <c r="C178" s="286"/>
      <c r="D178" s="285">
        <v>0</v>
      </c>
      <c r="E178" s="286"/>
      <c r="F178" s="286">
        <f t="shared" si="80"/>
        <v>0</v>
      </c>
      <c r="G178" s="285">
        <v>0</v>
      </c>
      <c r="H178" s="298">
        <f t="shared" si="85"/>
        <v>0</v>
      </c>
      <c r="I178" s="286">
        <f t="shared" si="81"/>
        <v>0</v>
      </c>
      <c r="J178" s="285">
        <f t="shared" si="82"/>
        <v>0</v>
      </c>
      <c r="K178" s="298">
        <f t="shared" si="83"/>
        <v>0</v>
      </c>
      <c r="L178" s="286">
        <f t="shared" si="84"/>
        <v>0</v>
      </c>
    </row>
    <row r="179" spans="1:12">
      <c r="A179" s="299"/>
      <c r="B179" s="285"/>
      <c r="C179" s="286"/>
      <c r="D179" s="285">
        <v>0</v>
      </c>
      <c r="E179" s="286"/>
      <c r="F179" s="286">
        <f t="shared" si="80"/>
        <v>0</v>
      </c>
      <c r="G179" s="285">
        <v>0</v>
      </c>
      <c r="H179" s="298">
        <f t="shared" si="85"/>
        <v>0</v>
      </c>
      <c r="I179" s="286">
        <f t="shared" si="81"/>
        <v>0</v>
      </c>
      <c r="J179" s="285">
        <f t="shared" si="82"/>
        <v>0</v>
      </c>
      <c r="K179" s="298">
        <f t="shared" si="83"/>
        <v>0</v>
      </c>
      <c r="L179" s="286">
        <f t="shared" si="84"/>
        <v>0</v>
      </c>
    </row>
    <row r="180" spans="1:12">
      <c r="A180" s="284"/>
      <c r="B180" s="285"/>
      <c r="C180" s="286"/>
      <c r="D180" s="285">
        <v>0</v>
      </c>
      <c r="E180" s="286"/>
      <c r="F180" s="286">
        <f t="shared" si="80"/>
        <v>0</v>
      </c>
      <c r="G180" s="285">
        <v>0</v>
      </c>
      <c r="H180" s="298">
        <f t="shared" si="85"/>
        <v>0</v>
      </c>
      <c r="I180" s="286">
        <f t="shared" si="81"/>
        <v>0</v>
      </c>
      <c r="J180" s="285">
        <f t="shared" si="82"/>
        <v>0</v>
      </c>
      <c r="K180" s="298">
        <f t="shared" si="83"/>
        <v>0</v>
      </c>
      <c r="L180" s="286">
        <f t="shared" si="84"/>
        <v>0</v>
      </c>
    </row>
    <row r="181" spans="1:12">
      <c r="A181" s="284"/>
      <c r="B181" s="285"/>
      <c r="C181" s="286"/>
      <c r="D181" s="285">
        <v>0</v>
      </c>
      <c r="E181" s="286"/>
      <c r="F181" s="286">
        <f t="shared" si="80"/>
        <v>0</v>
      </c>
      <c r="G181" s="285">
        <v>0</v>
      </c>
      <c r="H181" s="298">
        <f t="shared" si="85"/>
        <v>0</v>
      </c>
      <c r="I181" s="286">
        <f t="shared" si="81"/>
        <v>0</v>
      </c>
      <c r="J181" s="285">
        <f t="shared" si="82"/>
        <v>0</v>
      </c>
      <c r="K181" s="298">
        <f t="shared" si="83"/>
        <v>0</v>
      </c>
      <c r="L181" s="286">
        <f t="shared" si="84"/>
        <v>0</v>
      </c>
    </row>
    <row r="182" ht="13.5" spans="1:12">
      <c r="A182" s="284"/>
      <c r="B182" s="285"/>
      <c r="C182" s="286"/>
      <c r="D182" s="285"/>
      <c r="E182" s="286"/>
      <c r="F182" s="300" t="s">
        <v>133</v>
      </c>
      <c r="G182" s="301">
        <f>SUM(F170:F181)</f>
        <v>0</v>
      </c>
      <c r="H182" s="300" t="s">
        <v>134</v>
      </c>
      <c r="I182" s="302">
        <f>SUM(I170:I180)</f>
        <v>0</v>
      </c>
      <c r="J182" s="285"/>
      <c r="K182" s="300" t="s">
        <v>131</v>
      </c>
      <c r="L182" s="286">
        <f>L181</f>
        <v>0</v>
      </c>
    </row>
    <row r="185" ht="15.75" spans="1:12">
      <c r="A185" s="283" t="s">
        <v>116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</row>
    <row r="186" ht="12.75" spans="1:12">
      <c r="A186" s="284" t="s">
        <v>117</v>
      </c>
      <c r="B186" s="285"/>
      <c r="C186" s="286"/>
      <c r="D186" s="285"/>
      <c r="E186" s="286"/>
      <c r="F186" s="286"/>
      <c r="G186" s="285"/>
      <c r="H186" s="286"/>
      <c r="I186" s="287" t="s">
        <v>135</v>
      </c>
      <c r="J186" s="288"/>
      <c r="K186" s="288"/>
    </row>
    <row r="187" ht="13.5" spans="1:12">
      <c r="A187" s="289" t="s">
        <v>119</v>
      </c>
      <c r="B187" s="290" t="s">
        <v>120</v>
      </c>
      <c r="C187" s="290"/>
      <c r="D187" s="291" t="s">
        <v>121</v>
      </c>
      <c r="E187" s="291"/>
      <c r="F187" s="291"/>
      <c r="G187" s="292" t="s">
        <v>122</v>
      </c>
      <c r="H187" s="292"/>
      <c r="I187" s="292"/>
      <c r="J187" s="293" t="s">
        <v>123</v>
      </c>
      <c r="K187" s="293"/>
      <c r="L187" s="293"/>
    </row>
    <row r="188" ht="13.5" spans="1:12">
      <c r="A188" s="289"/>
      <c r="B188" s="290" t="s">
        <v>124</v>
      </c>
      <c r="C188" s="294" t="s">
        <v>125</v>
      </c>
      <c r="D188" s="290" t="s">
        <v>124</v>
      </c>
      <c r="E188" s="294" t="s">
        <v>126</v>
      </c>
      <c r="F188" s="294" t="s">
        <v>127</v>
      </c>
      <c r="G188" s="290" t="s">
        <v>124</v>
      </c>
      <c r="H188" s="295" t="s">
        <v>128</v>
      </c>
      <c r="I188" s="294" t="s">
        <v>129</v>
      </c>
      <c r="J188" s="290" t="s">
        <v>130</v>
      </c>
      <c r="K188" s="296" t="s">
        <v>128</v>
      </c>
      <c r="L188" s="294" t="s">
        <v>131</v>
      </c>
    </row>
    <row r="189" ht="12.75" spans="1:12">
      <c r="A189" s="297" t="s">
        <v>144</v>
      </c>
      <c r="B189" s="285"/>
      <c r="C189" s="286">
        <f>20*B189</f>
        <v>0</v>
      </c>
      <c r="D189" s="285"/>
      <c r="E189" s="286"/>
      <c r="F189" s="286"/>
      <c r="G189" s="285"/>
      <c r="H189" s="298"/>
      <c r="I189" s="298"/>
      <c r="J189" s="285"/>
      <c r="K189" s="298"/>
      <c r="L189" s="298">
        <v>0</v>
      </c>
    </row>
    <row r="190" spans="1:12">
      <c r="A190" s="284"/>
      <c r="B190" s="285"/>
      <c r="C190" s="286"/>
      <c r="D190" s="285">
        <v>0</v>
      </c>
      <c r="E190" s="286">
        <v>0</v>
      </c>
      <c r="F190" s="286">
        <f t="shared" ref="F190:F201" si="86">D190*E190</f>
        <v>0</v>
      </c>
      <c r="G190" s="285">
        <v>0</v>
      </c>
      <c r="H190" s="298"/>
      <c r="I190" s="286">
        <f t="shared" ref="I190:I201" si="87">IF(F190=0,G190*H190,0)</f>
        <v>0</v>
      </c>
      <c r="J190" s="285">
        <f t="shared" ref="J190:J201" si="88">D190-G190+J189</f>
        <v>0</v>
      </c>
      <c r="K190" s="298">
        <f t="shared" ref="K190:K201" si="89">IF(J190=0,0,L190/J190)</f>
        <v>0</v>
      </c>
      <c r="L190" s="286">
        <f t="shared" ref="L190:L201" si="90">IF(F190=0,L189-I190,L189+F190)</f>
        <v>0</v>
      </c>
    </row>
    <row r="191" spans="1:12">
      <c r="A191" s="284"/>
      <c r="B191" s="285"/>
      <c r="C191" s="286"/>
      <c r="D191" s="285">
        <v>0</v>
      </c>
      <c r="E191" s="286"/>
      <c r="F191" s="286">
        <f t="shared" si="86"/>
        <v>0</v>
      </c>
      <c r="G191" s="285">
        <v>0</v>
      </c>
      <c r="H191" s="298">
        <f t="shared" ref="H191:H201" si="91">K190</f>
        <v>0</v>
      </c>
      <c r="I191" s="286">
        <f t="shared" si="87"/>
        <v>0</v>
      </c>
      <c r="J191" s="285">
        <f t="shared" si="88"/>
        <v>0</v>
      </c>
      <c r="K191" s="298">
        <f t="shared" si="89"/>
        <v>0</v>
      </c>
      <c r="L191" s="286">
        <f t="shared" si="90"/>
        <v>0</v>
      </c>
    </row>
    <row r="192" spans="1:12">
      <c r="A192" s="284"/>
      <c r="B192" s="285"/>
      <c r="C192" s="286"/>
      <c r="D192" s="285">
        <v>0</v>
      </c>
      <c r="E192" s="286"/>
      <c r="F192" s="286">
        <f t="shared" si="86"/>
        <v>0</v>
      </c>
      <c r="G192" s="285">
        <v>0</v>
      </c>
      <c r="H192" s="298">
        <f t="shared" si="91"/>
        <v>0</v>
      </c>
      <c r="I192" s="286">
        <f t="shared" si="87"/>
        <v>0</v>
      </c>
      <c r="J192" s="285">
        <f t="shared" si="88"/>
        <v>0</v>
      </c>
      <c r="K192" s="298">
        <f t="shared" si="89"/>
        <v>0</v>
      </c>
      <c r="L192" s="286">
        <f t="shared" si="90"/>
        <v>0</v>
      </c>
    </row>
    <row r="193" spans="1:12">
      <c r="A193" s="284"/>
      <c r="B193" s="285"/>
      <c r="C193" s="286"/>
      <c r="D193" s="285">
        <v>0</v>
      </c>
      <c r="E193" s="286"/>
      <c r="F193" s="286">
        <f t="shared" si="86"/>
        <v>0</v>
      </c>
      <c r="G193" s="285">
        <v>0</v>
      </c>
      <c r="H193" s="298">
        <f t="shared" si="91"/>
        <v>0</v>
      </c>
      <c r="I193" s="286">
        <f t="shared" si="87"/>
        <v>0</v>
      </c>
      <c r="J193" s="285">
        <f t="shared" si="88"/>
        <v>0</v>
      </c>
      <c r="K193" s="298">
        <f t="shared" si="89"/>
        <v>0</v>
      </c>
      <c r="L193" s="286">
        <f t="shared" si="90"/>
        <v>0</v>
      </c>
    </row>
    <row r="194" spans="1:12">
      <c r="A194" s="284"/>
      <c r="B194" s="285"/>
      <c r="C194" s="286"/>
      <c r="D194" s="285">
        <v>0</v>
      </c>
      <c r="E194" s="286"/>
      <c r="F194" s="286">
        <f t="shared" si="86"/>
        <v>0</v>
      </c>
      <c r="G194" s="285">
        <v>0</v>
      </c>
      <c r="H194" s="298">
        <f t="shared" si="91"/>
        <v>0</v>
      </c>
      <c r="I194" s="286">
        <f t="shared" si="87"/>
        <v>0</v>
      </c>
      <c r="J194" s="285">
        <f t="shared" si="88"/>
        <v>0</v>
      </c>
      <c r="K194" s="298">
        <f t="shared" si="89"/>
        <v>0</v>
      </c>
      <c r="L194" s="286">
        <f t="shared" si="90"/>
        <v>0</v>
      </c>
    </row>
    <row r="195" spans="1:12">
      <c r="A195" s="284"/>
      <c r="B195" s="285"/>
      <c r="C195" s="286"/>
      <c r="D195" s="285">
        <v>0</v>
      </c>
      <c r="E195" s="286"/>
      <c r="F195" s="286">
        <f t="shared" si="86"/>
        <v>0</v>
      </c>
      <c r="G195" s="285">
        <v>0</v>
      </c>
      <c r="H195" s="298">
        <f t="shared" si="91"/>
        <v>0</v>
      </c>
      <c r="I195" s="286">
        <f t="shared" si="87"/>
        <v>0</v>
      </c>
      <c r="J195" s="285">
        <f t="shared" si="88"/>
        <v>0</v>
      </c>
      <c r="K195" s="298">
        <f t="shared" si="89"/>
        <v>0</v>
      </c>
      <c r="L195" s="286">
        <f t="shared" si="90"/>
        <v>0</v>
      </c>
    </row>
    <row r="196" spans="1:12">
      <c r="A196" s="284"/>
      <c r="B196" s="285"/>
      <c r="C196" s="286"/>
      <c r="D196" s="285">
        <v>0</v>
      </c>
      <c r="E196" s="286"/>
      <c r="F196" s="286">
        <f t="shared" si="86"/>
        <v>0</v>
      </c>
      <c r="G196" s="285">
        <v>0</v>
      </c>
      <c r="H196" s="298">
        <f t="shared" si="91"/>
        <v>0</v>
      </c>
      <c r="I196" s="286">
        <f t="shared" si="87"/>
        <v>0</v>
      </c>
      <c r="J196" s="285">
        <f t="shared" si="88"/>
        <v>0</v>
      </c>
      <c r="K196" s="298">
        <f t="shared" si="89"/>
        <v>0</v>
      </c>
      <c r="L196" s="286">
        <f t="shared" si="90"/>
        <v>0</v>
      </c>
    </row>
    <row r="197" spans="1:12">
      <c r="A197" s="284"/>
      <c r="B197" s="285"/>
      <c r="C197" s="286"/>
      <c r="D197" s="285">
        <v>0</v>
      </c>
      <c r="E197" s="286"/>
      <c r="F197" s="286">
        <f t="shared" si="86"/>
        <v>0</v>
      </c>
      <c r="G197" s="285">
        <v>0</v>
      </c>
      <c r="H197" s="298">
        <f t="shared" si="91"/>
        <v>0</v>
      </c>
      <c r="I197" s="286">
        <f t="shared" si="87"/>
        <v>0</v>
      </c>
      <c r="J197" s="285">
        <f t="shared" si="88"/>
        <v>0</v>
      </c>
      <c r="K197" s="298">
        <f t="shared" si="89"/>
        <v>0</v>
      </c>
      <c r="L197" s="286">
        <f t="shared" si="90"/>
        <v>0</v>
      </c>
    </row>
    <row r="198" spans="1:12">
      <c r="A198" s="284"/>
      <c r="B198" s="285"/>
      <c r="C198" s="286"/>
      <c r="D198" s="285">
        <v>0</v>
      </c>
      <c r="E198" s="286"/>
      <c r="F198" s="286">
        <f t="shared" si="86"/>
        <v>0</v>
      </c>
      <c r="G198" s="285">
        <v>0</v>
      </c>
      <c r="H198" s="298">
        <f t="shared" si="91"/>
        <v>0</v>
      </c>
      <c r="I198" s="286">
        <f t="shared" si="87"/>
        <v>0</v>
      </c>
      <c r="J198" s="285">
        <f t="shared" si="88"/>
        <v>0</v>
      </c>
      <c r="K198" s="298">
        <f t="shared" si="89"/>
        <v>0</v>
      </c>
      <c r="L198" s="286">
        <f t="shared" si="90"/>
        <v>0</v>
      </c>
    </row>
    <row r="199" spans="1:12">
      <c r="A199" s="299"/>
      <c r="B199" s="285"/>
      <c r="C199" s="286"/>
      <c r="D199" s="285">
        <v>0</v>
      </c>
      <c r="E199" s="286"/>
      <c r="F199" s="286">
        <f t="shared" si="86"/>
        <v>0</v>
      </c>
      <c r="G199" s="285">
        <v>0</v>
      </c>
      <c r="H199" s="298">
        <f t="shared" si="91"/>
        <v>0</v>
      </c>
      <c r="I199" s="286">
        <f t="shared" si="87"/>
        <v>0</v>
      </c>
      <c r="J199" s="285">
        <f t="shared" si="88"/>
        <v>0</v>
      </c>
      <c r="K199" s="298">
        <f t="shared" si="89"/>
        <v>0</v>
      </c>
      <c r="L199" s="286">
        <f t="shared" si="90"/>
        <v>0</v>
      </c>
    </row>
    <row r="200" spans="1:12">
      <c r="A200" s="284"/>
      <c r="B200" s="285"/>
      <c r="C200" s="286"/>
      <c r="D200" s="285">
        <v>0</v>
      </c>
      <c r="E200" s="286"/>
      <c r="F200" s="286">
        <f t="shared" si="86"/>
        <v>0</v>
      </c>
      <c r="G200" s="285">
        <v>0</v>
      </c>
      <c r="H200" s="298">
        <f t="shared" si="91"/>
        <v>0</v>
      </c>
      <c r="I200" s="286">
        <f t="shared" si="87"/>
        <v>0</v>
      </c>
      <c r="J200" s="285">
        <f t="shared" si="88"/>
        <v>0</v>
      </c>
      <c r="K200" s="298">
        <f t="shared" si="89"/>
        <v>0</v>
      </c>
      <c r="L200" s="286">
        <f t="shared" si="90"/>
        <v>0</v>
      </c>
    </row>
    <row r="201" spans="1:12">
      <c r="A201" s="284"/>
      <c r="B201" s="285"/>
      <c r="C201" s="286"/>
      <c r="D201" s="285">
        <v>0</v>
      </c>
      <c r="E201" s="286"/>
      <c r="F201" s="286">
        <f t="shared" si="86"/>
        <v>0</v>
      </c>
      <c r="G201" s="285">
        <v>0</v>
      </c>
      <c r="H201" s="298">
        <f t="shared" si="91"/>
        <v>0</v>
      </c>
      <c r="I201" s="286">
        <f t="shared" si="87"/>
        <v>0</v>
      </c>
      <c r="J201" s="285">
        <f t="shared" si="88"/>
        <v>0</v>
      </c>
      <c r="K201" s="298">
        <f t="shared" si="89"/>
        <v>0</v>
      </c>
      <c r="L201" s="286">
        <f t="shared" si="90"/>
        <v>0</v>
      </c>
    </row>
    <row r="202" ht="13.5" spans="1:12">
      <c r="A202" s="284"/>
      <c r="B202" s="285"/>
      <c r="C202" s="286"/>
      <c r="D202" s="285"/>
      <c r="E202" s="286"/>
      <c r="F202" s="300" t="s">
        <v>133</v>
      </c>
      <c r="G202" s="301">
        <f>SUM(F190:F201)</f>
        <v>0</v>
      </c>
      <c r="H202" s="300" t="s">
        <v>134</v>
      </c>
      <c r="I202" s="302">
        <f>SUM(I190:I200)</f>
        <v>0</v>
      </c>
      <c r="J202" s="285"/>
      <c r="K202" s="300" t="s">
        <v>131</v>
      </c>
      <c r="L202" s="286">
        <f>L201</f>
        <v>0</v>
      </c>
    </row>
    <row r="204" ht="13.15" customHeight="1"/>
    <row r="206" spans="1:12">
      <c r="D206" s="307"/>
      <c r="G206" s="308"/>
      <c r="J206" s="309"/>
    </row>
    <row r="208" spans="1:12">
      <c r="A208" s="310"/>
    </row>
    <row r="213" spans="1:12">
      <c r="A213" t="s">
        <v>116</v>
      </c>
    </row>
    <row r="214" spans="1:12">
      <c r="A214" t="s">
        <v>117</v>
      </c>
      <c r="I214" t="s">
        <v>145</v>
      </c>
    </row>
    <row r="215" spans="1:12">
      <c r="A215" t="s">
        <v>119</v>
      </c>
      <c r="B215" t="s">
        <v>120</v>
      </c>
      <c r="D215" s="307" t="s">
        <v>121</v>
      </c>
      <c r="G215" s="308" t="s">
        <v>122</v>
      </c>
      <c r="J215" s="309" t="s">
        <v>123</v>
      </c>
    </row>
    <row r="216" spans="1:12">
      <c r="B216" t="s">
        <v>124</v>
      </c>
      <c r="C216" t="s">
        <v>125</v>
      </c>
      <c r="D216" t="s">
        <v>124</v>
      </c>
      <c r="E216" t="s">
        <v>126</v>
      </c>
      <c r="F216" t="s">
        <v>127</v>
      </c>
      <c r="G216" t="s">
        <v>124</v>
      </c>
      <c r="H216" t="s">
        <v>128</v>
      </c>
      <c r="I216" t="s">
        <v>129</v>
      </c>
      <c r="J216" t="s">
        <v>130</v>
      </c>
      <c r="K216" t="s">
        <v>128</v>
      </c>
      <c r="L216" t="s">
        <v>131</v>
      </c>
    </row>
    <row r="217" spans="1:12">
      <c r="A217" s="310"/>
      <c r="C217">
        <f>20*B217</f>
        <v>0</v>
      </c>
    </row>
    <row r="218" spans="1:12">
      <c r="D218">
        <v>0</v>
      </c>
      <c r="F218">
        <f>D218*E218</f>
        <v>0</v>
      </c>
      <c r="G218">
        <v>0</v>
      </c>
      <c r="I218">
        <f>IF(F218,G218*G218,0)</f>
        <v>0</v>
      </c>
      <c r="J218">
        <f>D218-G218+J217</f>
        <v>0</v>
      </c>
      <c r="K218">
        <f>IF(J218=0,0,L218/J218)</f>
        <v>0</v>
      </c>
      <c r="L218">
        <f>IF(F218,L217-I218,L217+F218)</f>
        <v>0</v>
      </c>
    </row>
    <row r="219" spans="1:12">
      <c r="D219">
        <v>0</v>
      </c>
      <c r="F219">
        <f>D219*E219</f>
        <v>0</v>
      </c>
      <c r="G219">
        <v>0</v>
      </c>
      <c r="H219">
        <f>K218</f>
        <v>0</v>
      </c>
      <c r="I219">
        <f>IF(F219,G219*G219,0)</f>
        <v>0</v>
      </c>
      <c r="J219">
        <f>D219-G219+J218</f>
        <v>0</v>
      </c>
      <c r="K219">
        <f>IF(J219=0,0,L219/J219)</f>
        <v>0</v>
      </c>
      <c r="L219">
        <f>IF(F219,L218-I219,L218+F219)</f>
        <v>0</v>
      </c>
    </row>
    <row r="220" spans="1:12">
      <c r="F220" t="s">
        <v>133</v>
      </c>
      <c r="G220">
        <f>SUM(F218:F219)</f>
        <v>0</v>
      </c>
      <c r="H220" t="s">
        <v>146</v>
      </c>
      <c r="I220">
        <f>SUM(I218:I219)</f>
        <v>0</v>
      </c>
      <c r="K220" t="s">
        <v>131</v>
      </c>
      <c r="L220">
        <f>L219</f>
        <v>0</v>
      </c>
    </row>
    <row r="222" spans="1:12">
      <c r="J222" t="s">
        <v>123</v>
      </c>
      <c r="K222" t="s">
        <v>147</v>
      </c>
      <c r="L222" s="311">
        <f>L21+L42+L62+L82+L102+L122+L142+L162+L182+L202+L220</f>
        <v>411.2</v>
      </c>
    </row>
  </sheetData>
  <mergeCells count="84">
    <mergeCell ref="A1:K1"/>
    <mergeCell ref="I2:K2"/>
    <mergeCell ref="B3:C3"/>
    <mergeCell ref="D3:F3"/>
    <mergeCell ref="G3:I3"/>
    <mergeCell ref="J3:L3"/>
    <mergeCell ref="A23:K23"/>
    <mergeCell ref="I24:K24"/>
    <mergeCell ref="B25:C25"/>
    <mergeCell ref="D25:F25"/>
    <mergeCell ref="G25:I25"/>
    <mergeCell ref="J25:L25"/>
    <mergeCell ref="A45:K45"/>
    <mergeCell ref="I46:K46"/>
    <mergeCell ref="B47:C47"/>
    <mergeCell ref="D47:F47"/>
    <mergeCell ref="G47:I47"/>
    <mergeCell ref="J47:L47"/>
    <mergeCell ref="A65:K65"/>
    <mergeCell ref="I66:K66"/>
    <mergeCell ref="B67:C67"/>
    <mergeCell ref="D67:F67"/>
    <mergeCell ref="G67:I67"/>
    <mergeCell ref="J67:L67"/>
    <mergeCell ref="A85:K85"/>
    <mergeCell ref="I86:K86"/>
    <mergeCell ref="B87:C87"/>
    <mergeCell ref="D87:F87"/>
    <mergeCell ref="G87:I87"/>
    <mergeCell ref="J87:L87"/>
    <mergeCell ref="A105:K105"/>
    <mergeCell ref="I106:K106"/>
    <mergeCell ref="B107:C107"/>
    <mergeCell ref="D107:F107"/>
    <mergeCell ref="G107:I107"/>
    <mergeCell ref="J107:L107"/>
    <mergeCell ref="A125:K125"/>
    <mergeCell ref="I126:K126"/>
    <mergeCell ref="B127:C127"/>
    <mergeCell ref="D127:F127"/>
    <mergeCell ref="G127:I127"/>
    <mergeCell ref="J127:L127"/>
    <mergeCell ref="A145:K145"/>
    <mergeCell ref="I146:K146"/>
    <mergeCell ref="B147:C147"/>
    <mergeCell ref="D147:F147"/>
    <mergeCell ref="G147:I147"/>
    <mergeCell ref="J147:L147"/>
    <mergeCell ref="A165:K165"/>
    <mergeCell ref="I166:K166"/>
    <mergeCell ref="B167:C167"/>
    <mergeCell ref="D167:F167"/>
    <mergeCell ref="G167:I167"/>
    <mergeCell ref="J167:L167"/>
    <mergeCell ref="A185:K185"/>
    <mergeCell ref="I186:K186"/>
    <mergeCell ref="B187:C187"/>
    <mergeCell ref="D187:F187"/>
    <mergeCell ref="G187:I187"/>
    <mergeCell ref="J187:L187"/>
    <mergeCell ref="A204:L204"/>
    <mergeCell ref="I205:K205"/>
    <mergeCell ref="B206:C206"/>
    <mergeCell ref="D206:F206"/>
    <mergeCell ref="G206:I206"/>
    <mergeCell ref="J206:L206"/>
    <mergeCell ref="A213:L213"/>
    <mergeCell ref="I214:K214"/>
    <mergeCell ref="B215:C215"/>
    <mergeCell ref="D215:F215"/>
    <mergeCell ref="G215:I215"/>
    <mergeCell ref="J215:L215"/>
    <mergeCell ref="A3:A4"/>
    <mergeCell ref="A25:A26"/>
    <mergeCell ref="A47:A48"/>
    <mergeCell ref="A67:A68"/>
    <mergeCell ref="A87:A88"/>
    <mergeCell ref="A107:A108"/>
    <mergeCell ref="A127:A128"/>
    <mergeCell ref="A147:A148"/>
    <mergeCell ref="A167:A168"/>
    <mergeCell ref="A187:A188"/>
    <mergeCell ref="A206:A207"/>
    <mergeCell ref="A215:A216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3"/>
  <sheetViews>
    <sheetView workbookViewId="0">
      <selection activeCell="E7" sqref="E7"/>
    </sheetView>
  </sheetViews>
  <sheetFormatPr defaultColWidth="9" defaultRowHeight="12.35"/>
  <cols>
    <col min="1" max="1" width="26.7142857142857" customWidth="1"/>
    <col min="3" max="3" width="12" customWidth="1"/>
    <col min="6" max="6" width="11.8571428571429" customWidth="1"/>
    <col min="10" max="10" width="15.2857142857143" customWidth="1"/>
    <col min="11" max="11" width="16.4285714285714" customWidth="1"/>
    <col min="12" max="12" width="12.1428571428571" customWidth="1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135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 t="s">
        <v>132</v>
      </c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/>
      <c r="E6" s="286"/>
      <c r="F6" s="286">
        <f>D6*E6</f>
        <v>0</v>
      </c>
      <c r="G6" s="285">
        <v>0</v>
      </c>
      <c r="H6" s="298"/>
      <c r="I6" s="286">
        <f>IF(F6=0,G6*H6,0)</f>
        <v>0</v>
      </c>
      <c r="J6" s="285">
        <f>D6-G6+J5</f>
        <v>0</v>
      </c>
      <c r="K6" s="298">
        <f t="shared" ref="K6:K19" si="0">IF(J6=0,0,L6/J6)</f>
        <v>0</v>
      </c>
      <c r="L6" s="286">
        <f t="shared" ref="L6:L19" si="1">IF(F6=0,L5-I6,L5+F6)</f>
        <v>0</v>
      </c>
    </row>
    <row r="7" spans="1:12">
      <c r="A7" s="284"/>
      <c r="B7" s="285"/>
      <c r="C7" s="286"/>
      <c r="D7" s="285">
        <v>20</v>
      </c>
      <c r="E7" s="286">
        <v>20.56</v>
      </c>
      <c r="F7" s="286">
        <f t="shared" ref="F7:F19" si="2">D7*E7</f>
        <v>411.2</v>
      </c>
      <c r="G7" s="285">
        <v>0</v>
      </c>
      <c r="H7" s="298">
        <f>K6</f>
        <v>0</v>
      </c>
      <c r="I7" s="286">
        <f>IF(F7=0,G7*H7,0)</f>
        <v>0</v>
      </c>
      <c r="J7" s="285">
        <f t="shared" ref="J7:J19" si="3">D7-G7+J6</f>
        <v>20</v>
      </c>
      <c r="K7" s="298">
        <f t="shared" si="0"/>
        <v>20.56</v>
      </c>
      <c r="L7" s="286">
        <f t="shared" si="1"/>
        <v>411.2</v>
      </c>
    </row>
    <row r="8" spans="1:12">
      <c r="A8" s="284"/>
      <c r="B8" s="285"/>
      <c r="C8" s="286"/>
      <c r="D8" s="285">
        <v>20</v>
      </c>
      <c r="E8" s="286">
        <v>20.56</v>
      </c>
      <c r="F8" s="286">
        <f t="shared" ref="F8" si="4">D8*E8</f>
        <v>411.2</v>
      </c>
      <c r="G8" s="285">
        <v>0</v>
      </c>
      <c r="H8" s="298">
        <f>K7</f>
        <v>20.56</v>
      </c>
      <c r="I8" s="286">
        <f>IF(F8=0,G8*H8,0)</f>
        <v>0</v>
      </c>
      <c r="J8" s="285">
        <f t="shared" ref="J8" si="5">D8-G8+J7</f>
        <v>40</v>
      </c>
      <c r="K8" s="298">
        <f t="shared" ref="K8" si="6">IF(J8=0,0,L8/J8)</f>
        <v>20.56</v>
      </c>
      <c r="L8" s="286">
        <f t="shared" ref="L8" si="7">IF(F8=0,L7-I8,L7+F8)</f>
        <v>822.4</v>
      </c>
    </row>
    <row r="9" spans="1:12">
      <c r="A9" s="284"/>
      <c r="B9" s="285"/>
      <c r="C9" s="286"/>
      <c r="D9" s="285">
        <v>0</v>
      </c>
      <c r="E9" s="286">
        <v>0</v>
      </c>
      <c r="F9" s="286">
        <f t="shared" ref="F9" si="8">D9*E9</f>
        <v>0</v>
      </c>
      <c r="G9" s="285">
        <v>0</v>
      </c>
      <c r="H9" s="298">
        <f>K8</f>
        <v>20.56</v>
      </c>
      <c r="I9" s="286">
        <f>IF(F9=0,G9*H9,0)</f>
        <v>0</v>
      </c>
      <c r="J9" s="285">
        <f t="shared" ref="J9" si="9">D9-G9+J8</f>
        <v>40</v>
      </c>
      <c r="K9" s="298">
        <f t="shared" ref="K9" si="10">IF(J9=0,0,L9/J9)</f>
        <v>20.56</v>
      </c>
      <c r="L9" s="286">
        <f t="shared" ref="L9" si="11">IF(F9=0,L8-I9,L8+F9)</f>
        <v>822.4</v>
      </c>
    </row>
    <row r="10" spans="1:12">
      <c r="A10" s="284"/>
      <c r="B10" s="285"/>
      <c r="C10" s="286"/>
      <c r="D10" s="285">
        <v>0</v>
      </c>
      <c r="E10" s="286"/>
      <c r="F10" s="286">
        <f t="shared" si="2"/>
        <v>0</v>
      </c>
      <c r="G10" s="285">
        <v>0</v>
      </c>
      <c r="H10" s="298">
        <f>K7</f>
        <v>20.56</v>
      </c>
      <c r="I10" s="286">
        <f t="shared" ref="I10:I19" si="12">IF(F10=0,G10*H10,0)</f>
        <v>0</v>
      </c>
      <c r="J10" s="285">
        <f>D10-G10+J7</f>
        <v>20</v>
      </c>
      <c r="K10" s="298">
        <f t="shared" si="0"/>
        <v>20.56</v>
      </c>
      <c r="L10" s="286">
        <f>IF(F10=0,L7-I10,L7+F10)</f>
        <v>411.2</v>
      </c>
    </row>
    <row r="11" spans="1:12">
      <c r="A11" s="284"/>
      <c r="B11" s="285"/>
      <c r="C11" s="286"/>
      <c r="D11" s="285">
        <v>0</v>
      </c>
      <c r="E11" s="286"/>
      <c r="F11" s="286">
        <f t="shared" si="2"/>
        <v>0</v>
      </c>
      <c r="G11" s="285">
        <v>0</v>
      </c>
      <c r="H11" s="298">
        <f t="shared" ref="H11:H19" si="13">K10</f>
        <v>20.56</v>
      </c>
      <c r="I11" s="286">
        <f t="shared" si="12"/>
        <v>0</v>
      </c>
      <c r="J11" s="285">
        <f t="shared" si="3"/>
        <v>20</v>
      </c>
      <c r="K11" s="298">
        <f t="shared" si="0"/>
        <v>20.56</v>
      </c>
      <c r="L11" s="286">
        <f t="shared" si="1"/>
        <v>411.2</v>
      </c>
    </row>
    <row r="12" spans="1:12">
      <c r="A12" s="284"/>
      <c r="B12" s="285"/>
      <c r="C12" s="286"/>
      <c r="D12" s="285">
        <v>0</v>
      </c>
      <c r="E12" s="286"/>
      <c r="F12" s="286">
        <f t="shared" si="2"/>
        <v>0</v>
      </c>
      <c r="G12" s="285">
        <v>0</v>
      </c>
      <c r="H12" s="298">
        <f t="shared" si="13"/>
        <v>20.56</v>
      </c>
      <c r="I12" s="286">
        <f t="shared" si="12"/>
        <v>0</v>
      </c>
      <c r="J12" s="285">
        <f t="shared" si="3"/>
        <v>20</v>
      </c>
      <c r="K12" s="298">
        <f t="shared" si="0"/>
        <v>20.56</v>
      </c>
      <c r="L12" s="286">
        <f t="shared" si="1"/>
        <v>411.2</v>
      </c>
    </row>
    <row r="13" spans="1:12">
      <c r="A13" s="284"/>
      <c r="B13" s="285"/>
      <c r="C13" s="286"/>
      <c r="D13" s="285">
        <v>0</v>
      </c>
      <c r="E13" s="286"/>
      <c r="F13" s="286">
        <f t="shared" si="2"/>
        <v>0</v>
      </c>
      <c r="G13" s="285">
        <v>0</v>
      </c>
      <c r="H13" s="298">
        <f t="shared" si="13"/>
        <v>20.56</v>
      </c>
      <c r="I13" s="286">
        <f t="shared" si="12"/>
        <v>0</v>
      </c>
      <c r="J13" s="285">
        <f t="shared" si="3"/>
        <v>20</v>
      </c>
      <c r="K13" s="298">
        <f t="shared" si="0"/>
        <v>20.56</v>
      </c>
      <c r="L13" s="286">
        <f t="shared" si="1"/>
        <v>411.2</v>
      </c>
    </row>
    <row r="14" spans="1:12">
      <c r="A14" s="284"/>
      <c r="B14" s="285"/>
      <c r="C14" s="286"/>
      <c r="D14" s="285">
        <v>0</v>
      </c>
      <c r="E14" s="286"/>
      <c r="F14" s="286">
        <f t="shared" si="2"/>
        <v>0</v>
      </c>
      <c r="G14" s="285">
        <v>0</v>
      </c>
      <c r="H14" s="298">
        <f t="shared" si="13"/>
        <v>20.56</v>
      </c>
      <c r="I14" s="286">
        <f t="shared" si="12"/>
        <v>0</v>
      </c>
      <c r="J14" s="285">
        <f t="shared" si="3"/>
        <v>20</v>
      </c>
      <c r="K14" s="298">
        <f t="shared" si="0"/>
        <v>20.56</v>
      </c>
      <c r="L14" s="286">
        <f t="shared" si="1"/>
        <v>411.2</v>
      </c>
    </row>
    <row r="15" spans="1:12">
      <c r="A15" s="284"/>
      <c r="B15" s="285"/>
      <c r="C15" s="286"/>
      <c r="D15" s="285">
        <v>0</v>
      </c>
      <c r="E15" s="286"/>
      <c r="F15" s="286">
        <f t="shared" si="2"/>
        <v>0</v>
      </c>
      <c r="G15" s="285">
        <v>0</v>
      </c>
      <c r="H15" s="298">
        <f t="shared" si="13"/>
        <v>20.56</v>
      </c>
      <c r="I15" s="286">
        <f t="shared" si="12"/>
        <v>0</v>
      </c>
      <c r="J15" s="285">
        <f t="shared" si="3"/>
        <v>20</v>
      </c>
      <c r="K15" s="298">
        <f t="shared" si="0"/>
        <v>20.56</v>
      </c>
      <c r="L15" s="286">
        <f t="shared" si="1"/>
        <v>411.2</v>
      </c>
    </row>
    <row r="16" spans="1:12">
      <c r="A16" s="284"/>
      <c r="B16" s="285"/>
      <c r="C16" s="286"/>
      <c r="D16" s="285">
        <v>0</v>
      </c>
      <c r="E16" s="286"/>
      <c r="F16" s="286">
        <f t="shared" si="2"/>
        <v>0</v>
      </c>
      <c r="G16" s="285">
        <v>0</v>
      </c>
      <c r="H16" s="298">
        <f t="shared" si="13"/>
        <v>20.56</v>
      </c>
      <c r="I16" s="286">
        <f t="shared" si="12"/>
        <v>0</v>
      </c>
      <c r="J16" s="285">
        <f t="shared" si="3"/>
        <v>20</v>
      </c>
      <c r="K16" s="298">
        <f t="shared" si="0"/>
        <v>20.56</v>
      </c>
      <c r="L16" s="286">
        <f t="shared" si="1"/>
        <v>411.2</v>
      </c>
    </row>
    <row r="17" spans="1:12">
      <c r="A17" s="299"/>
      <c r="B17" s="285"/>
      <c r="C17" s="286"/>
      <c r="D17" s="285">
        <v>0</v>
      </c>
      <c r="E17" s="286"/>
      <c r="F17" s="286">
        <f t="shared" si="2"/>
        <v>0</v>
      </c>
      <c r="G17" s="285">
        <v>0</v>
      </c>
      <c r="H17" s="298">
        <f t="shared" si="13"/>
        <v>20.56</v>
      </c>
      <c r="I17" s="286">
        <f t="shared" si="12"/>
        <v>0</v>
      </c>
      <c r="J17" s="285">
        <f t="shared" si="3"/>
        <v>20</v>
      </c>
      <c r="K17" s="298">
        <f t="shared" si="0"/>
        <v>20.56</v>
      </c>
      <c r="L17" s="286">
        <f t="shared" si="1"/>
        <v>411.2</v>
      </c>
    </row>
    <row r="18" spans="1:12">
      <c r="A18" s="284"/>
      <c r="B18" s="285"/>
      <c r="C18" s="286"/>
      <c r="D18" s="285">
        <v>0</v>
      </c>
      <c r="E18" s="286"/>
      <c r="F18" s="286">
        <f t="shared" si="2"/>
        <v>0</v>
      </c>
      <c r="G18" s="285">
        <v>0</v>
      </c>
      <c r="H18" s="298">
        <f t="shared" si="13"/>
        <v>20.56</v>
      </c>
      <c r="I18" s="286">
        <f t="shared" si="12"/>
        <v>0</v>
      </c>
      <c r="J18" s="285">
        <f t="shared" si="3"/>
        <v>20</v>
      </c>
      <c r="K18" s="298">
        <f t="shared" si="0"/>
        <v>20.56</v>
      </c>
      <c r="L18" s="286">
        <f t="shared" si="1"/>
        <v>411.2</v>
      </c>
    </row>
    <row r="19" spans="1:12">
      <c r="A19" s="284"/>
      <c r="B19" s="285"/>
      <c r="C19" s="286"/>
      <c r="D19" s="285">
        <v>0</v>
      </c>
      <c r="E19" s="286"/>
      <c r="F19" s="286">
        <f t="shared" si="2"/>
        <v>0</v>
      </c>
      <c r="G19" s="285">
        <v>0</v>
      </c>
      <c r="H19" s="298">
        <f t="shared" si="13"/>
        <v>20.56</v>
      </c>
      <c r="I19" s="286">
        <f t="shared" si="12"/>
        <v>0</v>
      </c>
      <c r="J19" s="285">
        <f t="shared" si="3"/>
        <v>20</v>
      </c>
      <c r="K19" s="298">
        <f t="shared" si="0"/>
        <v>20.56</v>
      </c>
      <c r="L19" s="286">
        <f t="shared" si="1"/>
        <v>411.2</v>
      </c>
    </row>
    <row r="20" ht="13.5" spans="1:12">
      <c r="A20" s="284"/>
      <c r="B20" s="285"/>
      <c r="C20" s="286"/>
      <c r="D20" s="285"/>
      <c r="E20" s="286"/>
      <c r="F20" s="300" t="s">
        <v>133</v>
      </c>
      <c r="G20" s="301">
        <f>SUM(F6:F19)</f>
        <v>822.4</v>
      </c>
      <c r="H20" s="300" t="s">
        <v>134</v>
      </c>
      <c r="I20" s="302">
        <f>SUM(I6:I18)</f>
        <v>0</v>
      </c>
      <c r="J20" s="285"/>
      <c r="K20" s="300" t="s">
        <v>131</v>
      </c>
      <c r="L20" s="286">
        <f>L19</f>
        <v>411.2</v>
      </c>
    </row>
    <row r="21" spans="1:12">
      <c r="A21" s="303"/>
      <c r="B21" s="285"/>
      <c r="C21" s="286"/>
      <c r="D21" s="285"/>
      <c r="E21" s="286"/>
      <c r="F21" s="286"/>
      <c r="G21" s="285"/>
      <c r="H21" s="286"/>
      <c r="I21" s="286"/>
      <c r="J21" s="301"/>
      <c r="K21" s="286"/>
    </row>
    <row r="22" ht="15.75" spans="1:12">
      <c r="A22" s="283" t="s">
        <v>116</v>
      </c>
      <c r="B22" s="283"/>
      <c r="C22" s="283"/>
      <c r="D22" s="283"/>
      <c r="E22" s="283"/>
      <c r="F22" s="283"/>
      <c r="G22" s="283"/>
      <c r="H22" s="283"/>
      <c r="I22" s="283"/>
      <c r="J22" s="283"/>
      <c r="K22" s="283"/>
    </row>
    <row r="23" ht="12.75" spans="1:12">
      <c r="A23" s="284" t="s">
        <v>117</v>
      </c>
      <c r="B23" s="285"/>
      <c r="C23" s="286"/>
      <c r="D23" s="285"/>
      <c r="E23" s="286"/>
      <c r="F23" s="286"/>
      <c r="G23" s="285"/>
      <c r="H23" s="286"/>
      <c r="I23" s="287" t="s">
        <v>135</v>
      </c>
      <c r="J23" s="288"/>
      <c r="K23" s="288"/>
    </row>
    <row r="24" ht="13.5" spans="1:12">
      <c r="A24" s="289" t="s">
        <v>119</v>
      </c>
      <c r="B24" s="290" t="s">
        <v>120</v>
      </c>
      <c r="C24" s="290"/>
      <c r="D24" s="291" t="s">
        <v>121</v>
      </c>
      <c r="E24" s="291"/>
      <c r="F24" s="291"/>
      <c r="G24" s="292" t="s">
        <v>122</v>
      </c>
      <c r="H24" s="292"/>
      <c r="I24" s="292"/>
      <c r="J24" s="293" t="s">
        <v>123</v>
      </c>
      <c r="K24" s="293"/>
      <c r="L24" s="293"/>
    </row>
    <row r="25" ht="13.5" spans="1:12">
      <c r="A25" s="289"/>
      <c r="B25" s="290" t="s">
        <v>124</v>
      </c>
      <c r="C25" s="294" t="s">
        <v>125</v>
      </c>
      <c r="D25" s="290" t="s">
        <v>124</v>
      </c>
      <c r="E25" s="294" t="s">
        <v>126</v>
      </c>
      <c r="F25" s="294" t="s">
        <v>127</v>
      </c>
      <c r="G25" s="290" t="s">
        <v>124</v>
      </c>
      <c r="H25" s="295" t="s">
        <v>128</v>
      </c>
      <c r="I25" s="294" t="s">
        <v>129</v>
      </c>
      <c r="J25" s="290" t="s">
        <v>130</v>
      </c>
      <c r="K25" s="296" t="s">
        <v>128</v>
      </c>
      <c r="L25" s="294" t="s">
        <v>131</v>
      </c>
    </row>
    <row r="26" ht="12.75" spans="1:12">
      <c r="A26" s="297" t="s">
        <v>136</v>
      </c>
      <c r="B26" s="285"/>
      <c r="C26" s="286">
        <f>20*B26</f>
        <v>0</v>
      </c>
      <c r="D26" s="285"/>
      <c r="E26" s="286"/>
      <c r="F26" s="286"/>
      <c r="G26" s="285"/>
      <c r="H26" s="298"/>
      <c r="I26" s="298"/>
      <c r="J26" s="285"/>
      <c r="K26" s="298"/>
      <c r="L26" s="298">
        <v>0</v>
      </c>
    </row>
    <row r="27" spans="1:12">
      <c r="A27" s="284"/>
      <c r="B27" s="285"/>
      <c r="C27" s="286"/>
      <c r="D27" s="285">
        <v>0</v>
      </c>
      <c r="E27" s="286">
        <v>0</v>
      </c>
      <c r="F27" s="286">
        <f t="shared" ref="F27:F40" si="14">D27*E27</f>
        <v>0</v>
      </c>
      <c r="G27" s="285">
        <v>0</v>
      </c>
      <c r="H27" s="298"/>
      <c r="I27" s="286">
        <f t="shared" ref="I27:I40" si="15">IF(F27=0,G27*H27,0)</f>
        <v>0</v>
      </c>
      <c r="J27" s="285">
        <f t="shared" ref="J27:J40" si="16">D27-G27+J26</f>
        <v>0</v>
      </c>
      <c r="K27" s="298">
        <f t="shared" ref="K27:K40" si="17">IF(J27=0,0,L27/J27)</f>
        <v>0</v>
      </c>
      <c r="L27" s="286">
        <f t="shared" ref="L27:L40" si="18">IF(F27=0,L26-I27,L26+F27)</f>
        <v>0</v>
      </c>
    </row>
    <row r="28" spans="1:12">
      <c r="A28" s="284"/>
      <c r="B28" s="285"/>
      <c r="C28" s="286"/>
      <c r="D28" s="285">
        <v>0</v>
      </c>
      <c r="E28" s="286"/>
      <c r="F28" s="286">
        <f t="shared" si="14"/>
        <v>0</v>
      </c>
      <c r="G28" s="285">
        <v>10</v>
      </c>
      <c r="H28" s="298">
        <f t="shared" ref="H28:H40" si="19">K27</f>
        <v>0</v>
      </c>
      <c r="I28" s="286">
        <f t="shared" si="15"/>
        <v>0</v>
      </c>
      <c r="J28" s="285">
        <f t="shared" si="16"/>
        <v>-10</v>
      </c>
      <c r="K28" s="298">
        <f t="shared" si="17"/>
        <v>0</v>
      </c>
      <c r="L28" s="286">
        <f t="shared" si="18"/>
        <v>0</v>
      </c>
    </row>
    <row r="29" spans="1:12">
      <c r="A29" s="284"/>
      <c r="B29" s="285"/>
      <c r="C29" s="286"/>
      <c r="D29" s="285">
        <v>0</v>
      </c>
      <c r="E29" s="286"/>
      <c r="F29" s="286">
        <f t="shared" ref="F29" si="20">D29*E29</f>
        <v>0</v>
      </c>
      <c r="G29" s="285">
        <v>10</v>
      </c>
      <c r="H29" s="298">
        <f t="shared" ref="H29" si="21">K28</f>
        <v>0</v>
      </c>
      <c r="I29" s="286">
        <f t="shared" ref="I29" si="22">IF(F29=0,G29*H29,0)</f>
        <v>0</v>
      </c>
      <c r="J29" s="285">
        <f t="shared" ref="J29" si="23">D29-G29+J28</f>
        <v>-20</v>
      </c>
      <c r="K29" s="298">
        <f t="shared" ref="K29" si="24">IF(J29=0,0,L29/J29)</f>
        <v>0</v>
      </c>
      <c r="L29" s="286">
        <f t="shared" ref="L29" si="25">IF(F29=0,L28-I29,L28+F29)</f>
        <v>0</v>
      </c>
    </row>
    <row r="30" spans="1:12">
      <c r="A30" s="284"/>
      <c r="B30" s="285"/>
      <c r="C30" s="286"/>
      <c r="D30" s="285">
        <v>0</v>
      </c>
      <c r="E30" s="286"/>
      <c r="F30" s="286">
        <f t="shared" ref="F30" si="26">D30*E30</f>
        <v>0</v>
      </c>
      <c r="G30" s="285">
        <v>0</v>
      </c>
      <c r="H30" s="298">
        <f t="shared" ref="H30" si="27">K29</f>
        <v>0</v>
      </c>
      <c r="I30" s="286">
        <f t="shared" ref="I30" si="28">IF(F30=0,G30*H30,0)</f>
        <v>0</v>
      </c>
      <c r="J30" s="285">
        <f t="shared" ref="J30" si="29">D30-G30+J29</f>
        <v>-20</v>
      </c>
      <c r="K30" s="298">
        <f t="shared" ref="K30" si="30">IF(J30=0,0,L30/J30)</f>
        <v>0</v>
      </c>
      <c r="L30" s="286">
        <f t="shared" ref="L30" si="31">IF(F30=0,L29-I30,L29+F30)</f>
        <v>0</v>
      </c>
    </row>
    <row r="31" spans="1:12">
      <c r="A31" s="284"/>
      <c r="B31" s="285"/>
      <c r="C31" s="286"/>
      <c r="D31" s="285">
        <v>0</v>
      </c>
      <c r="E31" s="286"/>
      <c r="F31" s="286">
        <f t="shared" si="14"/>
        <v>0</v>
      </c>
      <c r="G31" s="285">
        <v>0</v>
      </c>
      <c r="H31" s="298">
        <f>K28</f>
        <v>0</v>
      </c>
      <c r="I31" s="286">
        <f t="shared" si="15"/>
        <v>0</v>
      </c>
      <c r="J31" s="285">
        <f>D31-G31+J28</f>
        <v>-10</v>
      </c>
      <c r="K31" s="298">
        <f t="shared" si="17"/>
        <v>0</v>
      </c>
      <c r="L31" s="286">
        <f>IF(F31=0,L28-I31,L28+F31)</f>
        <v>0</v>
      </c>
    </row>
    <row r="32" spans="1:12">
      <c r="A32" s="284"/>
      <c r="B32" s="285"/>
      <c r="C32" s="286"/>
      <c r="D32" s="285">
        <v>0</v>
      </c>
      <c r="E32" s="286"/>
      <c r="F32" s="286">
        <f t="shared" si="14"/>
        <v>0</v>
      </c>
      <c r="G32" s="285">
        <v>0</v>
      </c>
      <c r="H32" s="298">
        <f t="shared" si="19"/>
        <v>0</v>
      </c>
      <c r="I32" s="286">
        <f t="shared" si="15"/>
        <v>0</v>
      </c>
      <c r="J32" s="285">
        <f t="shared" si="16"/>
        <v>-10</v>
      </c>
      <c r="K32" s="298">
        <f t="shared" si="17"/>
        <v>0</v>
      </c>
      <c r="L32" s="286">
        <f t="shared" si="18"/>
        <v>0</v>
      </c>
    </row>
    <row r="33" spans="1:12">
      <c r="A33" s="284"/>
      <c r="B33" s="285"/>
      <c r="C33" s="286"/>
      <c r="D33" s="285">
        <v>0</v>
      </c>
      <c r="E33" s="286"/>
      <c r="F33" s="286">
        <f t="shared" si="14"/>
        <v>0</v>
      </c>
      <c r="G33" s="285">
        <v>0</v>
      </c>
      <c r="H33" s="298">
        <f t="shared" si="19"/>
        <v>0</v>
      </c>
      <c r="I33" s="286">
        <f t="shared" si="15"/>
        <v>0</v>
      </c>
      <c r="J33" s="285">
        <f t="shared" si="16"/>
        <v>-10</v>
      </c>
      <c r="K33" s="298">
        <f t="shared" si="17"/>
        <v>0</v>
      </c>
      <c r="L33" s="286">
        <f t="shared" si="18"/>
        <v>0</v>
      </c>
    </row>
    <row r="34" spans="1:12">
      <c r="A34" s="284"/>
      <c r="B34" s="285"/>
      <c r="C34" s="286"/>
      <c r="D34" s="285">
        <v>0</v>
      </c>
      <c r="E34" s="286"/>
      <c r="F34" s="286">
        <f t="shared" si="14"/>
        <v>0</v>
      </c>
      <c r="G34" s="285">
        <v>0</v>
      </c>
      <c r="H34" s="298">
        <f t="shared" si="19"/>
        <v>0</v>
      </c>
      <c r="I34" s="286">
        <f t="shared" si="15"/>
        <v>0</v>
      </c>
      <c r="J34" s="285">
        <f t="shared" si="16"/>
        <v>-10</v>
      </c>
      <c r="K34" s="298">
        <f t="shared" si="17"/>
        <v>0</v>
      </c>
      <c r="L34" s="286">
        <f t="shared" si="18"/>
        <v>0</v>
      </c>
    </row>
    <row r="35" spans="1:12">
      <c r="A35" s="284"/>
      <c r="B35" s="285"/>
      <c r="C35" s="286"/>
      <c r="D35" s="285">
        <v>0</v>
      </c>
      <c r="E35" s="286"/>
      <c r="F35" s="286">
        <f t="shared" si="14"/>
        <v>0</v>
      </c>
      <c r="G35" s="285">
        <v>0</v>
      </c>
      <c r="H35" s="298">
        <f t="shared" si="19"/>
        <v>0</v>
      </c>
      <c r="I35" s="286">
        <f t="shared" si="15"/>
        <v>0</v>
      </c>
      <c r="J35" s="285">
        <f t="shared" si="16"/>
        <v>-10</v>
      </c>
      <c r="K35" s="298">
        <f t="shared" si="17"/>
        <v>0</v>
      </c>
      <c r="L35" s="286">
        <f t="shared" si="18"/>
        <v>0</v>
      </c>
    </row>
    <row r="36" spans="1:12">
      <c r="A36" s="284"/>
      <c r="B36" s="285"/>
      <c r="C36" s="286"/>
      <c r="D36" s="285">
        <v>0</v>
      </c>
      <c r="E36" s="286"/>
      <c r="F36" s="286">
        <f t="shared" si="14"/>
        <v>0</v>
      </c>
      <c r="G36" s="285">
        <v>0</v>
      </c>
      <c r="H36" s="298">
        <f t="shared" si="19"/>
        <v>0</v>
      </c>
      <c r="I36" s="286">
        <f t="shared" si="15"/>
        <v>0</v>
      </c>
      <c r="J36" s="285">
        <f t="shared" si="16"/>
        <v>-10</v>
      </c>
      <c r="K36" s="298">
        <f t="shared" si="17"/>
        <v>0</v>
      </c>
      <c r="L36" s="286">
        <f t="shared" si="18"/>
        <v>0</v>
      </c>
    </row>
    <row r="37" spans="1:12">
      <c r="A37" s="284"/>
      <c r="B37" s="285"/>
      <c r="C37" s="286"/>
      <c r="D37" s="285">
        <v>0</v>
      </c>
      <c r="E37" s="286"/>
      <c r="F37" s="286">
        <f t="shared" si="14"/>
        <v>0</v>
      </c>
      <c r="G37" s="285">
        <v>0</v>
      </c>
      <c r="H37" s="298">
        <f t="shared" si="19"/>
        <v>0</v>
      </c>
      <c r="I37" s="286">
        <f t="shared" si="15"/>
        <v>0</v>
      </c>
      <c r="J37" s="285">
        <f t="shared" si="16"/>
        <v>-10</v>
      </c>
      <c r="K37" s="298">
        <f t="shared" si="17"/>
        <v>0</v>
      </c>
      <c r="L37" s="286">
        <f t="shared" si="18"/>
        <v>0</v>
      </c>
    </row>
    <row r="38" spans="1:12">
      <c r="A38" s="299"/>
      <c r="B38" s="285"/>
      <c r="C38" s="286"/>
      <c r="D38" s="285">
        <v>0</v>
      </c>
      <c r="E38" s="286"/>
      <c r="F38" s="286">
        <f t="shared" si="14"/>
        <v>0</v>
      </c>
      <c r="G38" s="285">
        <v>0</v>
      </c>
      <c r="H38" s="298">
        <f t="shared" si="19"/>
        <v>0</v>
      </c>
      <c r="I38" s="286">
        <f t="shared" si="15"/>
        <v>0</v>
      </c>
      <c r="J38" s="285">
        <f t="shared" si="16"/>
        <v>-10</v>
      </c>
      <c r="K38" s="298">
        <f t="shared" si="17"/>
        <v>0</v>
      </c>
      <c r="L38" s="286">
        <f t="shared" si="18"/>
        <v>0</v>
      </c>
    </row>
    <row r="39" spans="1:12">
      <c r="A39" s="284"/>
      <c r="B39" s="285"/>
      <c r="C39" s="286"/>
      <c r="D39" s="285">
        <v>0</v>
      </c>
      <c r="E39" s="286"/>
      <c r="F39" s="286">
        <f t="shared" si="14"/>
        <v>0</v>
      </c>
      <c r="G39" s="285">
        <v>0</v>
      </c>
      <c r="H39" s="298">
        <f t="shared" si="19"/>
        <v>0</v>
      </c>
      <c r="I39" s="286">
        <f t="shared" si="15"/>
        <v>0</v>
      </c>
      <c r="J39" s="285">
        <f t="shared" si="16"/>
        <v>-10</v>
      </c>
      <c r="K39" s="298">
        <f t="shared" si="17"/>
        <v>0</v>
      </c>
      <c r="L39" s="286">
        <f t="shared" si="18"/>
        <v>0</v>
      </c>
    </row>
    <row r="40" spans="1:12">
      <c r="A40" s="284"/>
      <c r="B40" s="285"/>
      <c r="C40" s="286"/>
      <c r="D40" s="285">
        <v>0</v>
      </c>
      <c r="E40" s="286"/>
      <c r="F40" s="286">
        <f t="shared" si="14"/>
        <v>0</v>
      </c>
      <c r="G40" s="285">
        <v>0</v>
      </c>
      <c r="H40" s="298">
        <f t="shared" si="19"/>
        <v>0</v>
      </c>
      <c r="I40" s="286">
        <f t="shared" si="15"/>
        <v>0</v>
      </c>
      <c r="J40" s="285">
        <f t="shared" si="16"/>
        <v>-10</v>
      </c>
      <c r="K40" s="298">
        <f t="shared" si="17"/>
        <v>0</v>
      </c>
      <c r="L40" s="286">
        <f t="shared" si="18"/>
        <v>0</v>
      </c>
    </row>
    <row r="41" ht="13.5" spans="1:12">
      <c r="A41" s="284"/>
      <c r="B41" s="285"/>
      <c r="C41" s="286"/>
      <c r="D41" s="285"/>
      <c r="E41" s="286"/>
      <c r="F41" s="300" t="s">
        <v>133</v>
      </c>
      <c r="G41" s="301">
        <f>SUM(F27:F40)</f>
        <v>0</v>
      </c>
      <c r="H41" s="300" t="s">
        <v>134</v>
      </c>
      <c r="I41" s="302">
        <f>SUM(I27:I39)</f>
        <v>0</v>
      </c>
      <c r="J41" s="285"/>
      <c r="K41" s="300" t="s">
        <v>131</v>
      </c>
      <c r="L41" s="286">
        <f>L40</f>
        <v>0</v>
      </c>
    </row>
    <row r="42" spans="1:12">
      <c r="A42" s="303"/>
      <c r="B42" s="285"/>
      <c r="C42" s="286"/>
      <c r="D42" s="285"/>
      <c r="E42" s="286"/>
      <c r="F42" s="286"/>
      <c r="G42" s="285"/>
      <c r="H42" s="286"/>
      <c r="I42" s="286"/>
      <c r="J42" s="301"/>
      <c r="K42" s="286"/>
    </row>
    <row r="43" spans="1:12">
      <c r="A43" s="303"/>
      <c r="B43" s="285"/>
      <c r="C43" s="286"/>
      <c r="D43" s="285"/>
      <c r="E43" s="286"/>
      <c r="F43" s="286"/>
      <c r="G43" s="285"/>
      <c r="H43" s="286"/>
      <c r="I43" s="286"/>
      <c r="J43" s="301"/>
      <c r="K43" s="286"/>
    </row>
    <row r="44" ht="15.75" spans="1:12">
      <c r="A44" s="283" t="s">
        <v>116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</row>
    <row r="45" ht="12.75" spans="1:12">
      <c r="A45" s="284" t="s">
        <v>117</v>
      </c>
      <c r="B45" s="285"/>
      <c r="C45" s="286"/>
      <c r="D45" s="285"/>
      <c r="E45" s="286"/>
      <c r="F45" s="286"/>
      <c r="G45" s="285"/>
      <c r="H45" s="286"/>
      <c r="I45" s="287" t="s">
        <v>135</v>
      </c>
      <c r="J45" s="288"/>
      <c r="K45" s="288"/>
    </row>
    <row r="46" ht="13.5" spans="1:12">
      <c r="A46" s="289" t="s">
        <v>119</v>
      </c>
      <c r="B46" s="290" t="s">
        <v>120</v>
      </c>
      <c r="C46" s="290"/>
      <c r="D46" s="291" t="s">
        <v>121</v>
      </c>
      <c r="E46" s="291"/>
      <c r="F46" s="291"/>
      <c r="G46" s="292" t="s">
        <v>122</v>
      </c>
      <c r="H46" s="292"/>
      <c r="I46" s="292"/>
      <c r="J46" s="293" t="s">
        <v>123</v>
      </c>
      <c r="K46" s="293"/>
      <c r="L46" s="293"/>
    </row>
    <row r="47" ht="13.5" spans="1:12">
      <c r="A47" s="289"/>
      <c r="B47" s="290" t="s">
        <v>124</v>
      </c>
      <c r="C47" s="294" t="s">
        <v>125</v>
      </c>
      <c r="D47" s="290" t="s">
        <v>124</v>
      </c>
      <c r="E47" s="294" t="s">
        <v>126</v>
      </c>
      <c r="F47" s="294" t="s">
        <v>127</v>
      </c>
      <c r="G47" s="290" t="s">
        <v>124</v>
      </c>
      <c r="H47" s="295" t="s">
        <v>128</v>
      </c>
      <c r="I47" s="294" t="s">
        <v>129</v>
      </c>
      <c r="J47" s="290" t="s">
        <v>130</v>
      </c>
      <c r="K47" s="296" t="s">
        <v>128</v>
      </c>
      <c r="L47" s="294" t="s">
        <v>131</v>
      </c>
    </row>
    <row r="48" ht="12.75" spans="1:12">
      <c r="A48" s="297"/>
      <c r="B48" s="285"/>
      <c r="C48" s="286">
        <f>20*B48</f>
        <v>0</v>
      </c>
      <c r="D48" s="285"/>
      <c r="E48" s="286"/>
      <c r="F48" s="286"/>
      <c r="G48" s="285"/>
      <c r="H48" s="298"/>
      <c r="I48" s="298"/>
      <c r="J48" s="285"/>
      <c r="K48" s="298"/>
      <c r="L48" s="298">
        <v>0</v>
      </c>
    </row>
    <row r="49" spans="1:12">
      <c r="A49" s="284"/>
      <c r="B49" s="285"/>
      <c r="C49" s="286"/>
      <c r="D49" s="285">
        <v>0</v>
      </c>
      <c r="E49" s="286">
        <v>0</v>
      </c>
      <c r="F49" s="286">
        <f t="shared" ref="F49:F60" si="32">D49*E49</f>
        <v>0</v>
      </c>
      <c r="G49" s="285">
        <v>0</v>
      </c>
      <c r="H49" s="298"/>
      <c r="I49" s="286">
        <f t="shared" ref="I49:I60" si="33">IF(F49=0,G49*H49,0)</f>
        <v>0</v>
      </c>
      <c r="J49" s="285">
        <f t="shared" ref="J49:J60" si="34">D49-G49+J48</f>
        <v>0</v>
      </c>
      <c r="K49" s="298">
        <f t="shared" ref="K49:K60" si="35">IF(J49=0,0,L49/J49)</f>
        <v>0</v>
      </c>
      <c r="L49" s="286">
        <f t="shared" ref="L49:L60" si="36">IF(F49=0,L48-I49,L48+F49)</f>
        <v>0</v>
      </c>
    </row>
    <row r="50" spans="1:12">
      <c r="A50" s="284"/>
      <c r="B50" s="285"/>
      <c r="C50" s="286"/>
      <c r="D50" s="285">
        <v>0</v>
      </c>
      <c r="E50" s="286"/>
      <c r="F50" s="286">
        <f t="shared" si="32"/>
        <v>0</v>
      </c>
      <c r="G50" s="285">
        <v>0</v>
      </c>
      <c r="H50" s="298">
        <f t="shared" ref="H50:H60" si="37">K49</f>
        <v>0</v>
      </c>
      <c r="I50" s="286">
        <f t="shared" si="33"/>
        <v>0</v>
      </c>
      <c r="J50" s="285">
        <f t="shared" si="34"/>
        <v>0</v>
      </c>
      <c r="K50" s="298">
        <f t="shared" si="35"/>
        <v>0</v>
      </c>
      <c r="L50" s="286">
        <f t="shared" si="36"/>
        <v>0</v>
      </c>
    </row>
    <row r="51" spans="1:12">
      <c r="A51" s="284"/>
      <c r="B51" s="285"/>
      <c r="C51" s="286"/>
      <c r="D51" s="285">
        <v>0</v>
      </c>
      <c r="E51" s="286"/>
      <c r="F51" s="286">
        <f t="shared" si="32"/>
        <v>0</v>
      </c>
      <c r="G51" s="285">
        <v>0</v>
      </c>
      <c r="H51" s="298">
        <f t="shared" si="37"/>
        <v>0</v>
      </c>
      <c r="I51" s="286">
        <f t="shared" si="33"/>
        <v>0</v>
      </c>
      <c r="J51" s="285">
        <f t="shared" si="34"/>
        <v>0</v>
      </c>
      <c r="K51" s="298">
        <f t="shared" si="35"/>
        <v>0</v>
      </c>
      <c r="L51" s="286">
        <f t="shared" si="36"/>
        <v>0</v>
      </c>
    </row>
    <row r="52" spans="1:12">
      <c r="A52" s="284"/>
      <c r="B52" s="285"/>
      <c r="C52" s="286"/>
      <c r="D52" s="285">
        <v>0</v>
      </c>
      <c r="E52" s="286"/>
      <c r="F52" s="286">
        <f t="shared" si="32"/>
        <v>0</v>
      </c>
      <c r="G52" s="285">
        <v>0</v>
      </c>
      <c r="H52" s="298">
        <f t="shared" si="37"/>
        <v>0</v>
      </c>
      <c r="I52" s="286">
        <f t="shared" si="33"/>
        <v>0</v>
      </c>
      <c r="J52" s="285">
        <f t="shared" si="34"/>
        <v>0</v>
      </c>
      <c r="K52" s="298">
        <f t="shared" si="35"/>
        <v>0</v>
      </c>
      <c r="L52" s="286">
        <f t="shared" si="36"/>
        <v>0</v>
      </c>
    </row>
    <row r="53" spans="1:12">
      <c r="A53" s="284"/>
      <c r="B53" s="285"/>
      <c r="C53" s="286"/>
      <c r="D53" s="285">
        <v>0</v>
      </c>
      <c r="E53" s="286"/>
      <c r="F53" s="286">
        <f t="shared" si="32"/>
        <v>0</v>
      </c>
      <c r="G53" s="285">
        <v>0</v>
      </c>
      <c r="H53" s="298">
        <f t="shared" si="37"/>
        <v>0</v>
      </c>
      <c r="I53" s="286">
        <f t="shared" si="33"/>
        <v>0</v>
      </c>
      <c r="J53" s="285">
        <f t="shared" si="34"/>
        <v>0</v>
      </c>
      <c r="K53" s="298">
        <f t="shared" si="35"/>
        <v>0</v>
      </c>
      <c r="L53" s="286">
        <f t="shared" si="36"/>
        <v>0</v>
      </c>
    </row>
    <row r="54" spans="1:12">
      <c r="A54" s="284"/>
      <c r="B54" s="285"/>
      <c r="C54" s="286"/>
      <c r="D54" s="285">
        <v>0</v>
      </c>
      <c r="E54" s="286"/>
      <c r="F54" s="286">
        <f t="shared" si="32"/>
        <v>0</v>
      </c>
      <c r="G54" s="285">
        <v>0</v>
      </c>
      <c r="H54" s="298">
        <f t="shared" si="37"/>
        <v>0</v>
      </c>
      <c r="I54" s="286">
        <f t="shared" si="33"/>
        <v>0</v>
      </c>
      <c r="J54" s="285">
        <f t="shared" si="34"/>
        <v>0</v>
      </c>
      <c r="K54" s="298">
        <f t="shared" si="35"/>
        <v>0</v>
      </c>
      <c r="L54" s="286">
        <f t="shared" si="36"/>
        <v>0</v>
      </c>
    </row>
    <row r="55" spans="1:12">
      <c r="A55" s="284"/>
      <c r="B55" s="285"/>
      <c r="C55" s="286"/>
      <c r="D55" s="285">
        <v>0</v>
      </c>
      <c r="E55" s="286"/>
      <c r="F55" s="286">
        <f t="shared" si="32"/>
        <v>0</v>
      </c>
      <c r="G55" s="285">
        <v>0</v>
      </c>
      <c r="H55" s="298">
        <f t="shared" si="37"/>
        <v>0</v>
      </c>
      <c r="I55" s="286">
        <f t="shared" si="33"/>
        <v>0</v>
      </c>
      <c r="J55" s="285">
        <f t="shared" si="34"/>
        <v>0</v>
      </c>
      <c r="K55" s="298">
        <f t="shared" si="35"/>
        <v>0</v>
      </c>
      <c r="L55" s="286">
        <f t="shared" si="36"/>
        <v>0</v>
      </c>
    </row>
    <row r="56" spans="1:12">
      <c r="A56" s="284"/>
      <c r="B56" s="285"/>
      <c r="C56" s="286"/>
      <c r="D56" s="285">
        <v>0</v>
      </c>
      <c r="E56" s="286"/>
      <c r="F56" s="286">
        <f t="shared" si="32"/>
        <v>0</v>
      </c>
      <c r="G56" s="285">
        <v>0</v>
      </c>
      <c r="H56" s="298">
        <f t="shared" si="37"/>
        <v>0</v>
      </c>
      <c r="I56" s="286">
        <f t="shared" si="33"/>
        <v>0</v>
      </c>
      <c r="J56" s="285">
        <f t="shared" si="34"/>
        <v>0</v>
      </c>
      <c r="K56" s="298">
        <f t="shared" si="35"/>
        <v>0</v>
      </c>
      <c r="L56" s="286">
        <f t="shared" si="36"/>
        <v>0</v>
      </c>
    </row>
    <row r="57" spans="1:12">
      <c r="A57" s="284"/>
      <c r="B57" s="285"/>
      <c r="C57" s="286"/>
      <c r="D57" s="285">
        <v>0</v>
      </c>
      <c r="E57" s="286"/>
      <c r="F57" s="286">
        <f t="shared" si="32"/>
        <v>0</v>
      </c>
      <c r="G57" s="285">
        <v>0</v>
      </c>
      <c r="H57" s="298">
        <f t="shared" si="37"/>
        <v>0</v>
      </c>
      <c r="I57" s="286">
        <f t="shared" si="33"/>
        <v>0</v>
      </c>
      <c r="J57" s="285">
        <f t="shared" si="34"/>
        <v>0</v>
      </c>
      <c r="K57" s="298">
        <f t="shared" si="35"/>
        <v>0</v>
      </c>
      <c r="L57" s="286">
        <f t="shared" si="36"/>
        <v>0</v>
      </c>
    </row>
    <row r="58" spans="1:12">
      <c r="A58" s="299"/>
      <c r="B58" s="285"/>
      <c r="C58" s="286"/>
      <c r="D58" s="285">
        <v>0</v>
      </c>
      <c r="E58" s="286"/>
      <c r="F58" s="286">
        <f t="shared" si="32"/>
        <v>0</v>
      </c>
      <c r="G58" s="285">
        <v>0</v>
      </c>
      <c r="H58" s="298">
        <f t="shared" si="37"/>
        <v>0</v>
      </c>
      <c r="I58" s="286">
        <f t="shared" si="33"/>
        <v>0</v>
      </c>
      <c r="J58" s="285">
        <f t="shared" si="34"/>
        <v>0</v>
      </c>
      <c r="K58" s="298">
        <f t="shared" si="35"/>
        <v>0</v>
      </c>
      <c r="L58" s="286">
        <f t="shared" si="36"/>
        <v>0</v>
      </c>
    </row>
    <row r="59" spans="1:12">
      <c r="A59" s="284"/>
      <c r="B59" s="285"/>
      <c r="C59" s="286"/>
      <c r="D59" s="285">
        <v>0</v>
      </c>
      <c r="E59" s="286"/>
      <c r="F59" s="286">
        <f t="shared" si="32"/>
        <v>0</v>
      </c>
      <c r="G59" s="285">
        <v>0</v>
      </c>
      <c r="H59" s="298">
        <f t="shared" si="37"/>
        <v>0</v>
      </c>
      <c r="I59" s="286">
        <f t="shared" si="33"/>
        <v>0</v>
      </c>
      <c r="J59" s="285">
        <f t="shared" si="34"/>
        <v>0</v>
      </c>
      <c r="K59" s="298">
        <f t="shared" si="35"/>
        <v>0</v>
      </c>
      <c r="L59" s="286">
        <f t="shared" si="36"/>
        <v>0</v>
      </c>
    </row>
    <row r="60" spans="1:12">
      <c r="A60" s="284"/>
      <c r="B60" s="285"/>
      <c r="C60" s="286"/>
      <c r="D60" s="285">
        <v>0</v>
      </c>
      <c r="E60" s="286"/>
      <c r="F60" s="286">
        <f t="shared" si="32"/>
        <v>0</v>
      </c>
      <c r="G60" s="285">
        <v>0</v>
      </c>
      <c r="H60" s="298">
        <f t="shared" si="37"/>
        <v>0</v>
      </c>
      <c r="I60" s="286">
        <f t="shared" si="33"/>
        <v>0</v>
      </c>
      <c r="J60" s="285">
        <f t="shared" si="34"/>
        <v>0</v>
      </c>
      <c r="K60" s="298">
        <f t="shared" si="35"/>
        <v>0</v>
      </c>
      <c r="L60" s="286">
        <f t="shared" si="36"/>
        <v>0</v>
      </c>
    </row>
    <row r="61" ht="13.5" spans="1:12">
      <c r="A61" s="284"/>
      <c r="B61" s="285"/>
      <c r="C61" s="286"/>
      <c r="D61" s="285"/>
      <c r="E61" s="286"/>
      <c r="F61" s="300" t="s">
        <v>133</v>
      </c>
      <c r="G61" s="301">
        <f>SUM(F49:F60)</f>
        <v>0</v>
      </c>
      <c r="H61" s="300" t="s">
        <v>134</v>
      </c>
      <c r="I61" s="302">
        <f>SUM(I49:I59)</f>
        <v>0</v>
      </c>
      <c r="J61" s="285"/>
      <c r="K61" s="300" t="s">
        <v>131</v>
      </c>
      <c r="L61" s="286">
        <f>L60</f>
        <v>0</v>
      </c>
    </row>
    <row r="62" spans="1:12">
      <c r="A62" s="303"/>
      <c r="B62" s="285"/>
      <c r="C62" s="286"/>
      <c r="D62" s="285"/>
      <c r="E62" s="286"/>
      <c r="F62" s="286"/>
      <c r="G62" s="285"/>
      <c r="H62" s="286"/>
      <c r="I62" s="286"/>
      <c r="J62" s="301"/>
      <c r="K62" s="286"/>
    </row>
    <row r="63" spans="1:12">
      <c r="A63" s="303"/>
      <c r="B63" s="285"/>
      <c r="C63" s="286"/>
      <c r="D63" s="285"/>
      <c r="E63" s="286"/>
      <c r="F63" s="286"/>
      <c r="G63" s="285"/>
      <c r="H63" s="286"/>
      <c r="I63" s="286"/>
      <c r="J63" s="301"/>
      <c r="K63" s="286"/>
    </row>
    <row r="64" ht="15.75" spans="1:12">
      <c r="A64" s="283" t="s">
        <v>116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</row>
    <row r="65" ht="12.75" spans="1:12">
      <c r="A65" s="284" t="s">
        <v>117</v>
      </c>
      <c r="B65" s="285"/>
      <c r="C65" s="286"/>
      <c r="D65" s="285"/>
      <c r="E65" s="286"/>
      <c r="F65" s="286"/>
      <c r="G65" s="285"/>
      <c r="H65" s="286"/>
      <c r="I65" s="287" t="s">
        <v>135</v>
      </c>
      <c r="J65" s="288"/>
      <c r="K65" s="288"/>
    </row>
    <row r="66" ht="13.5" spans="1:12">
      <c r="A66" s="289" t="s">
        <v>119</v>
      </c>
      <c r="B66" s="290" t="s">
        <v>120</v>
      </c>
      <c r="C66" s="290"/>
      <c r="D66" s="291" t="s">
        <v>121</v>
      </c>
      <c r="E66" s="291"/>
      <c r="F66" s="291"/>
      <c r="G66" s="292" t="s">
        <v>122</v>
      </c>
      <c r="H66" s="292"/>
      <c r="I66" s="292"/>
      <c r="J66" s="293" t="s">
        <v>123</v>
      </c>
      <c r="K66" s="293"/>
      <c r="L66" s="293"/>
    </row>
    <row r="67" ht="13.5" spans="1:12">
      <c r="A67" s="289"/>
      <c r="B67" s="290" t="s">
        <v>124</v>
      </c>
      <c r="C67" s="294" t="s">
        <v>125</v>
      </c>
      <c r="D67" s="290" t="s">
        <v>124</v>
      </c>
      <c r="E67" s="294" t="s">
        <v>126</v>
      </c>
      <c r="F67" s="294" t="s">
        <v>127</v>
      </c>
      <c r="G67" s="290" t="s">
        <v>124</v>
      </c>
      <c r="H67" s="295" t="s">
        <v>128</v>
      </c>
      <c r="I67" s="294" t="s">
        <v>129</v>
      </c>
      <c r="J67" s="290" t="s">
        <v>130</v>
      </c>
      <c r="K67" s="296" t="s">
        <v>128</v>
      </c>
      <c r="L67" s="294" t="s">
        <v>131</v>
      </c>
    </row>
    <row r="68" ht="12.75" spans="1:12">
      <c r="A68" s="297"/>
      <c r="B68" s="285"/>
      <c r="C68" s="286">
        <f>20*B68</f>
        <v>0</v>
      </c>
      <c r="D68" s="285"/>
      <c r="E68" s="286"/>
      <c r="F68" s="286"/>
      <c r="G68" s="285"/>
      <c r="H68" s="298"/>
      <c r="I68" s="298"/>
      <c r="J68" s="285"/>
      <c r="K68" s="298"/>
      <c r="L68" s="298">
        <v>0</v>
      </c>
    </row>
    <row r="69" spans="1:12">
      <c r="A69" s="284"/>
      <c r="B69" s="285"/>
      <c r="C69" s="286"/>
      <c r="D69" s="285">
        <v>0</v>
      </c>
      <c r="E69" s="286">
        <v>0</v>
      </c>
      <c r="F69" s="286">
        <f t="shared" ref="F69:F80" si="38">D69*E69</f>
        <v>0</v>
      </c>
      <c r="G69" s="285">
        <v>0</v>
      </c>
      <c r="H69" s="298"/>
      <c r="I69" s="286">
        <f t="shared" ref="I69:I80" si="39">IF(F69=0,G69*H69,0)</f>
        <v>0</v>
      </c>
      <c r="J69" s="285">
        <f t="shared" ref="J69:J80" si="40">D69-G69+J68</f>
        <v>0</v>
      </c>
      <c r="K69" s="298">
        <f t="shared" ref="K69:K80" si="41">IF(J69=0,0,L69/J69)</f>
        <v>0</v>
      </c>
      <c r="L69" s="286">
        <f t="shared" ref="L69:L80" si="42">IF(F69=0,L68-I69,L68+F69)</f>
        <v>0</v>
      </c>
    </row>
    <row r="70" spans="1:12">
      <c r="A70" s="284"/>
      <c r="B70" s="285"/>
      <c r="C70" s="286"/>
      <c r="D70" s="285">
        <v>0</v>
      </c>
      <c r="E70" s="286"/>
      <c r="F70" s="286">
        <f t="shared" si="38"/>
        <v>0</v>
      </c>
      <c r="G70" s="285">
        <v>0</v>
      </c>
      <c r="H70" s="298">
        <f t="shared" ref="H70:H80" si="43">K69</f>
        <v>0</v>
      </c>
      <c r="I70" s="286">
        <f t="shared" si="39"/>
        <v>0</v>
      </c>
      <c r="J70" s="285">
        <f t="shared" si="40"/>
        <v>0</v>
      </c>
      <c r="K70" s="298">
        <f t="shared" si="41"/>
        <v>0</v>
      </c>
      <c r="L70" s="286">
        <f t="shared" si="42"/>
        <v>0</v>
      </c>
    </row>
    <row r="71" spans="1:12">
      <c r="A71" s="284"/>
      <c r="B71" s="285"/>
      <c r="C71" s="286"/>
      <c r="D71" s="285">
        <v>0</v>
      </c>
      <c r="E71" s="286"/>
      <c r="F71" s="286">
        <f t="shared" si="38"/>
        <v>0</v>
      </c>
      <c r="G71" s="285">
        <v>0</v>
      </c>
      <c r="H71" s="298">
        <f t="shared" si="43"/>
        <v>0</v>
      </c>
      <c r="I71" s="286">
        <f t="shared" si="39"/>
        <v>0</v>
      </c>
      <c r="J71" s="285">
        <f t="shared" si="40"/>
        <v>0</v>
      </c>
      <c r="K71" s="298">
        <f t="shared" si="41"/>
        <v>0</v>
      </c>
      <c r="L71" s="286">
        <f t="shared" si="42"/>
        <v>0</v>
      </c>
    </row>
    <row r="72" spans="1:12">
      <c r="A72" s="284"/>
      <c r="B72" s="285"/>
      <c r="C72" s="286"/>
      <c r="D72" s="285">
        <v>0</v>
      </c>
      <c r="E72" s="286"/>
      <c r="F72" s="286">
        <f t="shared" si="38"/>
        <v>0</v>
      </c>
      <c r="G72" s="285">
        <v>0</v>
      </c>
      <c r="H72" s="298">
        <f t="shared" si="43"/>
        <v>0</v>
      </c>
      <c r="I72" s="286">
        <f t="shared" si="39"/>
        <v>0</v>
      </c>
      <c r="J72" s="285">
        <f t="shared" si="40"/>
        <v>0</v>
      </c>
      <c r="K72" s="298">
        <f t="shared" si="41"/>
        <v>0</v>
      </c>
      <c r="L72" s="286">
        <f t="shared" si="42"/>
        <v>0</v>
      </c>
    </row>
    <row r="73" spans="1:12">
      <c r="A73" s="284"/>
      <c r="B73" s="285"/>
      <c r="C73" s="286"/>
      <c r="D73" s="285">
        <v>0</v>
      </c>
      <c r="E73" s="286"/>
      <c r="F73" s="286">
        <f t="shared" si="38"/>
        <v>0</v>
      </c>
      <c r="G73" s="285">
        <v>0</v>
      </c>
      <c r="H73" s="298">
        <f t="shared" si="43"/>
        <v>0</v>
      </c>
      <c r="I73" s="286">
        <f t="shared" si="39"/>
        <v>0</v>
      </c>
      <c r="J73" s="285">
        <f t="shared" si="40"/>
        <v>0</v>
      </c>
      <c r="K73" s="298">
        <f t="shared" si="41"/>
        <v>0</v>
      </c>
      <c r="L73" s="286">
        <f t="shared" si="42"/>
        <v>0</v>
      </c>
    </row>
    <row r="74" spans="1:12">
      <c r="A74" s="284"/>
      <c r="B74" s="285"/>
      <c r="C74" s="286"/>
      <c r="D74" s="285">
        <v>0</v>
      </c>
      <c r="E74" s="286"/>
      <c r="F74" s="286">
        <f t="shared" si="38"/>
        <v>0</v>
      </c>
      <c r="G74" s="285">
        <v>0</v>
      </c>
      <c r="H74" s="298">
        <f t="shared" si="43"/>
        <v>0</v>
      </c>
      <c r="I74" s="286">
        <f t="shared" si="39"/>
        <v>0</v>
      </c>
      <c r="J74" s="285">
        <f t="shared" si="40"/>
        <v>0</v>
      </c>
      <c r="K74" s="298">
        <f t="shared" si="41"/>
        <v>0</v>
      </c>
      <c r="L74" s="286">
        <f t="shared" si="42"/>
        <v>0</v>
      </c>
    </row>
    <row r="75" spans="1:12">
      <c r="A75" s="284"/>
      <c r="B75" s="285"/>
      <c r="C75" s="286"/>
      <c r="D75" s="285">
        <v>0</v>
      </c>
      <c r="E75" s="286"/>
      <c r="F75" s="286">
        <f t="shared" si="38"/>
        <v>0</v>
      </c>
      <c r="G75" s="285">
        <v>0</v>
      </c>
      <c r="H75" s="298">
        <f t="shared" si="43"/>
        <v>0</v>
      </c>
      <c r="I75" s="286">
        <f t="shared" si="39"/>
        <v>0</v>
      </c>
      <c r="J75" s="285">
        <f t="shared" si="40"/>
        <v>0</v>
      </c>
      <c r="K75" s="298">
        <f t="shared" si="41"/>
        <v>0</v>
      </c>
      <c r="L75" s="286">
        <f t="shared" si="42"/>
        <v>0</v>
      </c>
    </row>
    <row r="76" spans="1:12">
      <c r="A76" s="284"/>
      <c r="B76" s="285"/>
      <c r="C76" s="286"/>
      <c r="D76" s="285">
        <v>0</v>
      </c>
      <c r="E76" s="286"/>
      <c r="F76" s="286">
        <f t="shared" si="38"/>
        <v>0</v>
      </c>
      <c r="G76" s="285">
        <v>0</v>
      </c>
      <c r="H76" s="298">
        <f t="shared" si="43"/>
        <v>0</v>
      </c>
      <c r="I76" s="286">
        <f t="shared" si="39"/>
        <v>0</v>
      </c>
      <c r="J76" s="285">
        <f t="shared" si="40"/>
        <v>0</v>
      </c>
      <c r="K76" s="298">
        <f t="shared" si="41"/>
        <v>0</v>
      </c>
      <c r="L76" s="286">
        <f t="shared" si="42"/>
        <v>0</v>
      </c>
    </row>
    <row r="77" spans="1:12">
      <c r="A77" s="284"/>
      <c r="B77" s="285"/>
      <c r="C77" s="286"/>
      <c r="D77" s="285">
        <v>0</v>
      </c>
      <c r="E77" s="286"/>
      <c r="F77" s="286">
        <f t="shared" si="38"/>
        <v>0</v>
      </c>
      <c r="G77" s="285">
        <v>0</v>
      </c>
      <c r="H77" s="298">
        <f t="shared" si="43"/>
        <v>0</v>
      </c>
      <c r="I77" s="286">
        <f t="shared" si="39"/>
        <v>0</v>
      </c>
      <c r="J77" s="285">
        <f t="shared" si="40"/>
        <v>0</v>
      </c>
      <c r="K77" s="298">
        <f t="shared" si="41"/>
        <v>0</v>
      </c>
      <c r="L77" s="286">
        <f t="shared" si="42"/>
        <v>0</v>
      </c>
    </row>
    <row r="78" spans="1:12">
      <c r="A78" s="299"/>
      <c r="B78" s="285"/>
      <c r="C78" s="286"/>
      <c r="D78" s="285">
        <v>0</v>
      </c>
      <c r="E78" s="286"/>
      <c r="F78" s="286">
        <f t="shared" si="38"/>
        <v>0</v>
      </c>
      <c r="G78" s="285">
        <v>0</v>
      </c>
      <c r="H78" s="298">
        <f t="shared" si="43"/>
        <v>0</v>
      </c>
      <c r="I78" s="286">
        <f t="shared" si="39"/>
        <v>0</v>
      </c>
      <c r="J78" s="285">
        <f t="shared" si="40"/>
        <v>0</v>
      </c>
      <c r="K78" s="298">
        <f t="shared" si="41"/>
        <v>0</v>
      </c>
      <c r="L78" s="286">
        <f t="shared" si="42"/>
        <v>0</v>
      </c>
    </row>
    <row r="79" spans="1:12">
      <c r="A79" s="284"/>
      <c r="B79" s="285"/>
      <c r="C79" s="286"/>
      <c r="D79" s="285">
        <v>0</v>
      </c>
      <c r="E79" s="286"/>
      <c r="F79" s="286">
        <f t="shared" si="38"/>
        <v>0</v>
      </c>
      <c r="G79" s="285">
        <v>0</v>
      </c>
      <c r="H79" s="298">
        <f t="shared" si="43"/>
        <v>0</v>
      </c>
      <c r="I79" s="286">
        <f t="shared" si="39"/>
        <v>0</v>
      </c>
      <c r="J79" s="285">
        <f t="shared" si="40"/>
        <v>0</v>
      </c>
      <c r="K79" s="298">
        <f t="shared" si="41"/>
        <v>0</v>
      </c>
      <c r="L79" s="286">
        <f t="shared" si="42"/>
        <v>0</v>
      </c>
    </row>
    <row r="80" spans="1:12">
      <c r="A80" s="284"/>
      <c r="B80" s="285"/>
      <c r="C80" s="286"/>
      <c r="D80" s="285">
        <v>0</v>
      </c>
      <c r="E80" s="286"/>
      <c r="F80" s="286">
        <f t="shared" si="38"/>
        <v>0</v>
      </c>
      <c r="G80" s="285">
        <v>0</v>
      </c>
      <c r="H80" s="298">
        <f t="shared" si="43"/>
        <v>0</v>
      </c>
      <c r="I80" s="286">
        <f t="shared" si="39"/>
        <v>0</v>
      </c>
      <c r="J80" s="285">
        <f t="shared" si="40"/>
        <v>0</v>
      </c>
      <c r="K80" s="298">
        <f t="shared" si="41"/>
        <v>0</v>
      </c>
      <c r="L80" s="286">
        <f t="shared" si="42"/>
        <v>0</v>
      </c>
    </row>
    <row r="81" ht="13.5" spans="1:12">
      <c r="A81" s="284"/>
      <c r="B81" s="285"/>
      <c r="C81" s="286"/>
      <c r="D81" s="285"/>
      <c r="E81" s="286"/>
      <c r="F81" s="300" t="s">
        <v>133</v>
      </c>
      <c r="G81" s="301">
        <f>SUM(F69:F80)</f>
        <v>0</v>
      </c>
      <c r="H81" s="300" t="s">
        <v>134</v>
      </c>
      <c r="I81" s="302">
        <f>SUM(I69:I79)</f>
        <v>0</v>
      </c>
      <c r="J81" s="285"/>
      <c r="K81" s="300" t="s">
        <v>131</v>
      </c>
      <c r="L81" s="286">
        <f>L80</f>
        <v>0</v>
      </c>
    </row>
    <row r="82" spans="1:12">
      <c r="A82" s="303"/>
      <c r="B82" s="285"/>
      <c r="C82" s="286"/>
      <c r="D82" s="285"/>
      <c r="E82" s="286"/>
      <c r="F82" s="286"/>
      <c r="G82" s="285"/>
      <c r="H82" s="286"/>
      <c r="I82" s="286"/>
      <c r="J82" s="301"/>
      <c r="K82" s="286"/>
    </row>
    <row r="83" spans="1:12">
      <c r="A83" s="303"/>
      <c r="B83" s="285"/>
      <c r="C83" s="286"/>
      <c r="D83" s="285"/>
      <c r="E83" s="286"/>
      <c r="F83" s="286"/>
      <c r="G83" s="285"/>
      <c r="H83" s="286"/>
      <c r="I83" s="286"/>
      <c r="J83" s="301"/>
      <c r="K83" s="286"/>
    </row>
    <row r="84" ht="15.75" spans="1:12">
      <c r="A84" s="283" t="s">
        <v>116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</row>
    <row r="85" ht="12.75" spans="1:12">
      <c r="A85" s="284" t="s">
        <v>117</v>
      </c>
      <c r="B85" s="285"/>
      <c r="C85" s="286"/>
      <c r="D85" s="285"/>
      <c r="E85" s="286"/>
      <c r="F85" s="286"/>
      <c r="G85" s="285"/>
      <c r="H85" s="286"/>
      <c r="I85" s="287" t="s">
        <v>135</v>
      </c>
      <c r="J85" s="288"/>
      <c r="K85" s="288"/>
    </row>
    <row r="86" ht="13.5" spans="1:12">
      <c r="A86" s="289" t="s">
        <v>119</v>
      </c>
      <c r="B86" s="290" t="s">
        <v>120</v>
      </c>
      <c r="C86" s="290"/>
      <c r="D86" s="291" t="s">
        <v>121</v>
      </c>
      <c r="E86" s="291"/>
      <c r="F86" s="291"/>
      <c r="G86" s="292" t="s">
        <v>122</v>
      </c>
      <c r="H86" s="292"/>
      <c r="I86" s="292"/>
      <c r="J86" s="293" t="s">
        <v>123</v>
      </c>
      <c r="K86" s="293"/>
      <c r="L86" s="293"/>
    </row>
    <row r="87" ht="13.5" spans="1:12">
      <c r="A87" s="289"/>
      <c r="B87" s="290" t="s">
        <v>124</v>
      </c>
      <c r="C87" s="294" t="s">
        <v>125</v>
      </c>
      <c r="D87" s="290" t="s">
        <v>124</v>
      </c>
      <c r="E87" s="294" t="s">
        <v>126</v>
      </c>
      <c r="F87" s="294" t="s">
        <v>127</v>
      </c>
      <c r="G87" s="290" t="s">
        <v>124</v>
      </c>
      <c r="H87" s="295" t="s">
        <v>128</v>
      </c>
      <c r="I87" s="294" t="s">
        <v>129</v>
      </c>
      <c r="J87" s="290" t="s">
        <v>130</v>
      </c>
      <c r="K87" s="296" t="s">
        <v>128</v>
      </c>
      <c r="L87" s="294" t="s">
        <v>131</v>
      </c>
    </row>
    <row r="88" ht="12.75" spans="1:12">
      <c r="A88" s="297"/>
      <c r="B88" s="285"/>
      <c r="C88" s="286">
        <f>20*B88</f>
        <v>0</v>
      </c>
      <c r="D88" s="285"/>
      <c r="E88" s="286"/>
      <c r="F88" s="286"/>
      <c r="G88" s="285"/>
      <c r="H88" s="298"/>
      <c r="I88" s="298"/>
      <c r="J88" s="285"/>
      <c r="K88" s="298"/>
      <c r="L88" s="298">
        <v>0</v>
      </c>
    </row>
    <row r="89" spans="1:12">
      <c r="A89" s="284"/>
      <c r="B89" s="285"/>
      <c r="C89" s="286"/>
      <c r="D89" s="285">
        <v>0</v>
      </c>
      <c r="E89" s="286">
        <v>0</v>
      </c>
      <c r="F89" s="286">
        <f t="shared" ref="F89:F100" si="44">D89*E89</f>
        <v>0</v>
      </c>
      <c r="G89" s="285">
        <v>0</v>
      </c>
      <c r="H89" s="298"/>
      <c r="I89" s="286">
        <f t="shared" ref="I89:I100" si="45">IF(F89=0,G89*H89,0)</f>
        <v>0</v>
      </c>
      <c r="J89" s="285">
        <f t="shared" ref="J89:J100" si="46">D89-G89+J88</f>
        <v>0</v>
      </c>
      <c r="K89" s="298">
        <f t="shared" ref="K89:K100" si="47">IF(J89=0,0,L89/J89)</f>
        <v>0</v>
      </c>
      <c r="L89" s="286">
        <f t="shared" ref="L89:L100" si="48">IF(F89=0,L88-I89,L88+F89)</f>
        <v>0</v>
      </c>
    </row>
    <row r="90" spans="1:12">
      <c r="A90" s="284"/>
      <c r="B90" s="285"/>
      <c r="C90" s="286"/>
      <c r="D90" s="285">
        <v>0</v>
      </c>
      <c r="E90" s="286"/>
      <c r="F90" s="286">
        <f t="shared" si="44"/>
        <v>0</v>
      </c>
      <c r="G90" s="285">
        <v>0</v>
      </c>
      <c r="H90" s="298">
        <f t="shared" ref="H90:H100" si="49">K89</f>
        <v>0</v>
      </c>
      <c r="I90" s="286">
        <f t="shared" si="45"/>
        <v>0</v>
      </c>
      <c r="J90" s="285">
        <f t="shared" si="46"/>
        <v>0</v>
      </c>
      <c r="K90" s="298">
        <f t="shared" si="47"/>
        <v>0</v>
      </c>
      <c r="L90" s="286">
        <f t="shared" si="48"/>
        <v>0</v>
      </c>
    </row>
    <row r="91" spans="1:12">
      <c r="A91" s="284"/>
      <c r="B91" s="285"/>
      <c r="C91" s="286"/>
      <c r="D91" s="285">
        <v>0</v>
      </c>
      <c r="E91" s="286"/>
      <c r="F91" s="286">
        <f t="shared" si="44"/>
        <v>0</v>
      </c>
      <c r="G91" s="285">
        <v>0</v>
      </c>
      <c r="H91" s="298">
        <f t="shared" si="49"/>
        <v>0</v>
      </c>
      <c r="I91" s="286">
        <f t="shared" si="45"/>
        <v>0</v>
      </c>
      <c r="J91" s="285">
        <f t="shared" si="46"/>
        <v>0</v>
      </c>
      <c r="K91" s="298">
        <f t="shared" si="47"/>
        <v>0</v>
      </c>
      <c r="L91" s="286">
        <f t="shared" si="48"/>
        <v>0</v>
      </c>
    </row>
    <row r="92" spans="1:12">
      <c r="A92" s="284"/>
      <c r="B92" s="285"/>
      <c r="C92" s="286"/>
      <c r="D92" s="285">
        <v>0</v>
      </c>
      <c r="E92" s="286"/>
      <c r="F92" s="286">
        <f t="shared" si="44"/>
        <v>0</v>
      </c>
      <c r="G92" s="285">
        <v>0</v>
      </c>
      <c r="H92" s="298">
        <f t="shared" si="49"/>
        <v>0</v>
      </c>
      <c r="I92" s="286">
        <f t="shared" si="45"/>
        <v>0</v>
      </c>
      <c r="J92" s="285">
        <f t="shared" si="46"/>
        <v>0</v>
      </c>
      <c r="K92" s="298">
        <f t="shared" si="47"/>
        <v>0</v>
      </c>
      <c r="L92" s="286">
        <f t="shared" si="48"/>
        <v>0</v>
      </c>
    </row>
    <row r="93" spans="1:12">
      <c r="A93" s="284"/>
      <c r="B93" s="285"/>
      <c r="C93" s="286"/>
      <c r="D93" s="285">
        <v>0</v>
      </c>
      <c r="E93" s="286"/>
      <c r="F93" s="286">
        <f t="shared" si="44"/>
        <v>0</v>
      </c>
      <c r="G93" s="285">
        <v>0</v>
      </c>
      <c r="H93" s="298">
        <f t="shared" si="49"/>
        <v>0</v>
      </c>
      <c r="I93" s="286">
        <f t="shared" si="45"/>
        <v>0</v>
      </c>
      <c r="J93" s="285">
        <f t="shared" si="46"/>
        <v>0</v>
      </c>
      <c r="K93" s="298">
        <f t="shared" si="47"/>
        <v>0</v>
      </c>
      <c r="L93" s="286">
        <f t="shared" si="48"/>
        <v>0</v>
      </c>
    </row>
    <row r="94" spans="1:12">
      <c r="A94" s="284"/>
      <c r="B94" s="285"/>
      <c r="C94" s="286"/>
      <c r="D94" s="285">
        <v>0</v>
      </c>
      <c r="E94" s="286"/>
      <c r="F94" s="286">
        <f t="shared" si="44"/>
        <v>0</v>
      </c>
      <c r="G94" s="285">
        <v>0</v>
      </c>
      <c r="H94" s="298">
        <f t="shared" si="49"/>
        <v>0</v>
      </c>
      <c r="I94" s="286">
        <f t="shared" si="45"/>
        <v>0</v>
      </c>
      <c r="J94" s="285">
        <f t="shared" si="46"/>
        <v>0</v>
      </c>
      <c r="K94" s="298">
        <f t="shared" si="47"/>
        <v>0</v>
      </c>
      <c r="L94" s="286">
        <f t="shared" si="48"/>
        <v>0</v>
      </c>
    </row>
    <row r="95" spans="1:12">
      <c r="A95" s="284"/>
      <c r="B95" s="285"/>
      <c r="C95" s="286"/>
      <c r="D95" s="285">
        <v>0</v>
      </c>
      <c r="E95" s="286"/>
      <c r="F95" s="286">
        <f t="shared" si="44"/>
        <v>0</v>
      </c>
      <c r="G95" s="285">
        <v>0</v>
      </c>
      <c r="H95" s="298">
        <f t="shared" si="49"/>
        <v>0</v>
      </c>
      <c r="I95" s="286">
        <f t="shared" si="45"/>
        <v>0</v>
      </c>
      <c r="J95" s="285">
        <f t="shared" si="46"/>
        <v>0</v>
      </c>
      <c r="K95" s="298">
        <f t="shared" si="47"/>
        <v>0</v>
      </c>
      <c r="L95" s="286">
        <f t="shared" si="48"/>
        <v>0</v>
      </c>
    </row>
    <row r="96" spans="1:12">
      <c r="A96" s="284"/>
      <c r="B96" s="285"/>
      <c r="C96" s="286"/>
      <c r="D96" s="285">
        <v>0</v>
      </c>
      <c r="E96" s="286"/>
      <c r="F96" s="286">
        <f t="shared" si="44"/>
        <v>0</v>
      </c>
      <c r="G96" s="285">
        <v>0</v>
      </c>
      <c r="H96" s="298">
        <f t="shared" si="49"/>
        <v>0</v>
      </c>
      <c r="I96" s="286">
        <f t="shared" si="45"/>
        <v>0</v>
      </c>
      <c r="J96" s="285">
        <f t="shared" si="46"/>
        <v>0</v>
      </c>
      <c r="K96" s="298">
        <f t="shared" si="47"/>
        <v>0</v>
      </c>
      <c r="L96" s="286">
        <f t="shared" si="48"/>
        <v>0</v>
      </c>
    </row>
    <row r="97" spans="1:12">
      <c r="A97" s="284"/>
      <c r="B97" s="285"/>
      <c r="C97" s="286"/>
      <c r="D97" s="285">
        <v>0</v>
      </c>
      <c r="E97" s="286"/>
      <c r="F97" s="286">
        <f t="shared" si="44"/>
        <v>0</v>
      </c>
      <c r="G97" s="285">
        <v>0</v>
      </c>
      <c r="H97" s="298">
        <f t="shared" si="49"/>
        <v>0</v>
      </c>
      <c r="I97" s="286">
        <f t="shared" si="45"/>
        <v>0</v>
      </c>
      <c r="J97" s="285">
        <f t="shared" si="46"/>
        <v>0</v>
      </c>
      <c r="K97" s="298">
        <f t="shared" si="47"/>
        <v>0</v>
      </c>
      <c r="L97" s="286">
        <f t="shared" si="48"/>
        <v>0</v>
      </c>
    </row>
    <row r="98" spans="1:12">
      <c r="A98" s="299"/>
      <c r="B98" s="285"/>
      <c r="C98" s="286"/>
      <c r="D98" s="285">
        <v>0</v>
      </c>
      <c r="E98" s="286"/>
      <c r="F98" s="286">
        <f t="shared" si="44"/>
        <v>0</v>
      </c>
      <c r="G98" s="285">
        <v>0</v>
      </c>
      <c r="H98" s="298">
        <f t="shared" si="49"/>
        <v>0</v>
      </c>
      <c r="I98" s="286">
        <f t="shared" si="45"/>
        <v>0</v>
      </c>
      <c r="J98" s="285">
        <f t="shared" si="46"/>
        <v>0</v>
      </c>
      <c r="K98" s="298">
        <f t="shared" si="47"/>
        <v>0</v>
      </c>
      <c r="L98" s="286">
        <f t="shared" si="48"/>
        <v>0</v>
      </c>
    </row>
    <row r="99" spans="1:12">
      <c r="A99" s="284"/>
      <c r="B99" s="285"/>
      <c r="C99" s="286"/>
      <c r="D99" s="285">
        <v>0</v>
      </c>
      <c r="E99" s="286"/>
      <c r="F99" s="286">
        <f t="shared" si="44"/>
        <v>0</v>
      </c>
      <c r="G99" s="285">
        <v>0</v>
      </c>
      <c r="H99" s="298">
        <f t="shared" si="49"/>
        <v>0</v>
      </c>
      <c r="I99" s="286">
        <f t="shared" si="45"/>
        <v>0</v>
      </c>
      <c r="J99" s="285">
        <f t="shared" si="46"/>
        <v>0</v>
      </c>
      <c r="K99" s="298">
        <f t="shared" si="47"/>
        <v>0</v>
      </c>
      <c r="L99" s="286">
        <f t="shared" si="48"/>
        <v>0</v>
      </c>
    </row>
    <row r="100" spans="1:12">
      <c r="A100" s="284"/>
      <c r="B100" s="285"/>
      <c r="C100" s="286"/>
      <c r="D100" s="285">
        <v>0</v>
      </c>
      <c r="E100" s="286"/>
      <c r="F100" s="286">
        <f t="shared" si="44"/>
        <v>0</v>
      </c>
      <c r="G100" s="285">
        <v>0</v>
      </c>
      <c r="H100" s="298">
        <f t="shared" si="49"/>
        <v>0</v>
      </c>
      <c r="I100" s="286">
        <f t="shared" si="45"/>
        <v>0</v>
      </c>
      <c r="J100" s="285">
        <f t="shared" si="46"/>
        <v>0</v>
      </c>
      <c r="K100" s="298">
        <f t="shared" si="47"/>
        <v>0</v>
      </c>
      <c r="L100" s="286">
        <f t="shared" si="48"/>
        <v>0</v>
      </c>
    </row>
    <row r="101" ht="13.5" spans="1:12">
      <c r="A101" s="284"/>
      <c r="B101" s="285"/>
      <c r="C101" s="286"/>
      <c r="D101" s="285"/>
      <c r="E101" s="286"/>
      <c r="F101" s="300" t="s">
        <v>133</v>
      </c>
      <c r="G101" s="301">
        <f>SUM(F89:F100)</f>
        <v>0</v>
      </c>
      <c r="H101" s="300" t="s">
        <v>134</v>
      </c>
      <c r="I101" s="302">
        <f>SUM(I89:I99)</f>
        <v>0</v>
      </c>
      <c r="J101" s="285"/>
      <c r="K101" s="300" t="s">
        <v>131</v>
      </c>
      <c r="L101" s="286">
        <f>L100</f>
        <v>0</v>
      </c>
    </row>
    <row r="102" spans="1:12">
      <c r="A102" s="303"/>
      <c r="B102" s="285"/>
      <c r="C102" s="286"/>
      <c r="D102" s="285"/>
      <c r="E102" s="286"/>
      <c r="F102" s="286"/>
      <c r="G102" s="285"/>
      <c r="H102" s="286"/>
      <c r="I102" s="286"/>
      <c r="J102" s="301"/>
      <c r="K102" s="286"/>
    </row>
    <row r="103" spans="1:12">
      <c r="A103" s="303"/>
      <c r="B103" s="285"/>
      <c r="C103" s="286"/>
      <c r="D103" s="285"/>
      <c r="E103" s="286"/>
      <c r="F103" s="286"/>
      <c r="G103" s="285"/>
      <c r="H103" s="286"/>
      <c r="I103" s="286"/>
      <c r="J103" s="301"/>
      <c r="K103" s="286"/>
    </row>
    <row r="104" ht="15.75" spans="1:12">
      <c r="A104" s="283" t="s">
        <v>116</v>
      </c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</row>
    <row r="105" ht="12.75" spans="1:12">
      <c r="A105" s="284" t="s">
        <v>117</v>
      </c>
      <c r="B105" s="285"/>
      <c r="C105" s="286"/>
      <c r="D105" s="285"/>
      <c r="E105" s="286"/>
      <c r="F105" s="286"/>
      <c r="G105" s="285"/>
      <c r="H105" s="286"/>
      <c r="I105" s="287" t="s">
        <v>135</v>
      </c>
      <c r="J105" s="288"/>
      <c r="K105" s="288"/>
    </row>
    <row r="106" ht="13.5" spans="1:12">
      <c r="A106" s="289" t="s">
        <v>119</v>
      </c>
      <c r="B106" s="290" t="s">
        <v>120</v>
      </c>
      <c r="C106" s="290"/>
      <c r="D106" s="291" t="s">
        <v>121</v>
      </c>
      <c r="E106" s="291"/>
      <c r="F106" s="291"/>
      <c r="G106" s="292" t="s">
        <v>122</v>
      </c>
      <c r="H106" s="292"/>
      <c r="I106" s="292"/>
      <c r="J106" s="293" t="s">
        <v>123</v>
      </c>
      <c r="K106" s="293"/>
      <c r="L106" s="293"/>
    </row>
    <row r="107" ht="13.5" spans="1:12">
      <c r="A107" s="289"/>
      <c r="B107" s="290" t="s">
        <v>124</v>
      </c>
      <c r="C107" s="294" t="s">
        <v>125</v>
      </c>
      <c r="D107" s="290" t="s">
        <v>124</v>
      </c>
      <c r="E107" s="294" t="s">
        <v>126</v>
      </c>
      <c r="F107" s="294" t="s">
        <v>127</v>
      </c>
      <c r="G107" s="290" t="s">
        <v>124</v>
      </c>
      <c r="H107" s="295" t="s">
        <v>128</v>
      </c>
      <c r="I107" s="294" t="s">
        <v>129</v>
      </c>
      <c r="J107" s="290" t="s">
        <v>130</v>
      </c>
      <c r="K107" s="296" t="s">
        <v>128</v>
      </c>
      <c r="L107" s="294" t="s">
        <v>131</v>
      </c>
    </row>
    <row r="108" ht="12.75" spans="1:12">
      <c r="A108" s="297"/>
      <c r="B108" s="285"/>
      <c r="C108" s="286">
        <f>20*B108</f>
        <v>0</v>
      </c>
      <c r="D108" s="285"/>
      <c r="E108" s="286"/>
      <c r="F108" s="286"/>
      <c r="G108" s="285"/>
      <c r="H108" s="298"/>
      <c r="I108" s="298"/>
      <c r="J108" s="285"/>
      <c r="K108" s="298"/>
      <c r="L108" s="298">
        <v>0</v>
      </c>
    </row>
    <row r="109" spans="1:12">
      <c r="A109" s="284"/>
      <c r="B109" s="285"/>
      <c r="C109" s="286"/>
      <c r="D109" s="285">
        <v>0</v>
      </c>
      <c r="E109" s="286">
        <v>0</v>
      </c>
      <c r="F109" s="286">
        <f t="shared" ref="F109:F120" si="50">D109*E109</f>
        <v>0</v>
      </c>
      <c r="G109" s="285">
        <v>0</v>
      </c>
      <c r="H109" s="298"/>
      <c r="I109" s="286">
        <f t="shared" ref="I109:I120" si="51">IF(F109=0,G109*H109,0)</f>
        <v>0</v>
      </c>
      <c r="J109" s="285">
        <f t="shared" ref="J109:J120" si="52">D109-G109+J108</f>
        <v>0</v>
      </c>
      <c r="K109" s="298">
        <f t="shared" ref="K109:K120" si="53">IF(J109=0,0,L109/J109)</f>
        <v>0</v>
      </c>
      <c r="L109" s="286">
        <f t="shared" ref="L109:L120" si="54">IF(F109=0,L108-I109,L108+F109)</f>
        <v>0</v>
      </c>
    </row>
    <row r="110" spans="1:12">
      <c r="A110" s="284"/>
      <c r="B110" s="285"/>
      <c r="C110" s="286"/>
      <c r="D110" s="285">
        <v>0</v>
      </c>
      <c r="E110" s="286"/>
      <c r="F110" s="286">
        <f t="shared" si="50"/>
        <v>0</v>
      </c>
      <c r="G110" s="285">
        <v>0</v>
      </c>
      <c r="H110" s="298">
        <f t="shared" ref="H110:H120" si="55">K109</f>
        <v>0</v>
      </c>
      <c r="I110" s="286">
        <f t="shared" si="51"/>
        <v>0</v>
      </c>
      <c r="J110" s="285">
        <f t="shared" si="52"/>
        <v>0</v>
      </c>
      <c r="K110" s="298">
        <f t="shared" si="53"/>
        <v>0</v>
      </c>
      <c r="L110" s="286">
        <f t="shared" si="54"/>
        <v>0</v>
      </c>
    </row>
    <row r="111" spans="1:12">
      <c r="A111" s="284"/>
      <c r="B111" s="285"/>
      <c r="C111" s="286"/>
      <c r="D111" s="285">
        <v>0</v>
      </c>
      <c r="E111" s="286"/>
      <c r="F111" s="286">
        <f t="shared" si="50"/>
        <v>0</v>
      </c>
      <c r="G111" s="285">
        <v>0</v>
      </c>
      <c r="H111" s="298">
        <f t="shared" si="55"/>
        <v>0</v>
      </c>
      <c r="I111" s="286">
        <f t="shared" si="51"/>
        <v>0</v>
      </c>
      <c r="J111" s="285">
        <f t="shared" si="52"/>
        <v>0</v>
      </c>
      <c r="K111" s="298">
        <f t="shared" si="53"/>
        <v>0</v>
      </c>
      <c r="L111" s="286">
        <f t="shared" si="54"/>
        <v>0</v>
      </c>
    </row>
    <row r="112" spans="1:12">
      <c r="A112" s="284"/>
      <c r="B112" s="285"/>
      <c r="C112" s="286"/>
      <c r="D112" s="285">
        <v>0</v>
      </c>
      <c r="E112" s="286"/>
      <c r="F112" s="286">
        <f t="shared" si="50"/>
        <v>0</v>
      </c>
      <c r="G112" s="285">
        <v>0</v>
      </c>
      <c r="H112" s="298">
        <f t="shared" si="55"/>
        <v>0</v>
      </c>
      <c r="I112" s="286">
        <f t="shared" si="51"/>
        <v>0</v>
      </c>
      <c r="J112" s="285">
        <f t="shared" si="52"/>
        <v>0</v>
      </c>
      <c r="K112" s="298">
        <f t="shared" si="53"/>
        <v>0</v>
      </c>
      <c r="L112" s="286">
        <f t="shared" si="54"/>
        <v>0</v>
      </c>
    </row>
    <row r="113" spans="1:12">
      <c r="A113" s="284"/>
      <c r="B113" s="285"/>
      <c r="C113" s="286"/>
      <c r="D113" s="285">
        <v>0</v>
      </c>
      <c r="E113" s="286"/>
      <c r="F113" s="286">
        <f t="shared" si="50"/>
        <v>0</v>
      </c>
      <c r="G113" s="285">
        <v>0</v>
      </c>
      <c r="H113" s="298">
        <f t="shared" si="55"/>
        <v>0</v>
      </c>
      <c r="I113" s="286">
        <f t="shared" si="51"/>
        <v>0</v>
      </c>
      <c r="J113" s="285">
        <f t="shared" si="52"/>
        <v>0</v>
      </c>
      <c r="K113" s="298">
        <f t="shared" si="53"/>
        <v>0</v>
      </c>
      <c r="L113" s="286">
        <f t="shared" si="54"/>
        <v>0</v>
      </c>
    </row>
    <row r="114" spans="1:12">
      <c r="A114" s="284"/>
      <c r="B114" s="285"/>
      <c r="C114" s="286"/>
      <c r="D114" s="285">
        <v>0</v>
      </c>
      <c r="E114" s="286"/>
      <c r="F114" s="286">
        <f t="shared" si="50"/>
        <v>0</v>
      </c>
      <c r="G114" s="285">
        <v>0</v>
      </c>
      <c r="H114" s="298">
        <f t="shared" si="55"/>
        <v>0</v>
      </c>
      <c r="I114" s="286">
        <f t="shared" si="51"/>
        <v>0</v>
      </c>
      <c r="J114" s="285">
        <f t="shared" si="52"/>
        <v>0</v>
      </c>
      <c r="K114" s="298">
        <f t="shared" si="53"/>
        <v>0</v>
      </c>
      <c r="L114" s="286">
        <f t="shared" si="54"/>
        <v>0</v>
      </c>
    </row>
    <row r="115" spans="1:12">
      <c r="A115" s="284"/>
      <c r="B115" s="285"/>
      <c r="C115" s="286"/>
      <c r="D115" s="285">
        <v>0</v>
      </c>
      <c r="E115" s="286"/>
      <c r="F115" s="286">
        <f t="shared" si="50"/>
        <v>0</v>
      </c>
      <c r="G115" s="285">
        <v>0</v>
      </c>
      <c r="H115" s="298">
        <f t="shared" si="55"/>
        <v>0</v>
      </c>
      <c r="I115" s="286">
        <f t="shared" si="51"/>
        <v>0</v>
      </c>
      <c r="J115" s="285">
        <f t="shared" si="52"/>
        <v>0</v>
      </c>
      <c r="K115" s="298">
        <f t="shared" si="53"/>
        <v>0</v>
      </c>
      <c r="L115" s="286">
        <f t="shared" si="54"/>
        <v>0</v>
      </c>
    </row>
    <row r="116" spans="1:12">
      <c r="A116" s="284"/>
      <c r="B116" s="285"/>
      <c r="C116" s="286"/>
      <c r="D116" s="285">
        <v>0</v>
      </c>
      <c r="E116" s="286"/>
      <c r="F116" s="286">
        <f t="shared" si="50"/>
        <v>0</v>
      </c>
      <c r="G116" s="285">
        <v>0</v>
      </c>
      <c r="H116" s="298">
        <f t="shared" si="55"/>
        <v>0</v>
      </c>
      <c r="I116" s="286">
        <f t="shared" si="51"/>
        <v>0</v>
      </c>
      <c r="J116" s="285">
        <f t="shared" si="52"/>
        <v>0</v>
      </c>
      <c r="K116" s="298">
        <f t="shared" si="53"/>
        <v>0</v>
      </c>
      <c r="L116" s="286">
        <f t="shared" si="54"/>
        <v>0</v>
      </c>
    </row>
    <row r="117" spans="1:12">
      <c r="A117" s="284"/>
      <c r="B117" s="285"/>
      <c r="C117" s="286"/>
      <c r="D117" s="285">
        <v>0</v>
      </c>
      <c r="E117" s="286"/>
      <c r="F117" s="286">
        <f t="shared" si="50"/>
        <v>0</v>
      </c>
      <c r="G117" s="285">
        <v>0</v>
      </c>
      <c r="H117" s="298">
        <f t="shared" si="55"/>
        <v>0</v>
      </c>
      <c r="I117" s="286">
        <f t="shared" si="51"/>
        <v>0</v>
      </c>
      <c r="J117" s="285">
        <f t="shared" si="52"/>
        <v>0</v>
      </c>
      <c r="K117" s="298">
        <f t="shared" si="53"/>
        <v>0</v>
      </c>
      <c r="L117" s="286">
        <f t="shared" si="54"/>
        <v>0</v>
      </c>
    </row>
    <row r="118" spans="1:12">
      <c r="A118" s="299"/>
      <c r="B118" s="285"/>
      <c r="C118" s="286"/>
      <c r="D118" s="285">
        <v>0</v>
      </c>
      <c r="E118" s="286"/>
      <c r="F118" s="286">
        <f t="shared" si="50"/>
        <v>0</v>
      </c>
      <c r="G118" s="285">
        <v>0</v>
      </c>
      <c r="H118" s="298">
        <f t="shared" si="55"/>
        <v>0</v>
      </c>
      <c r="I118" s="286">
        <f t="shared" si="51"/>
        <v>0</v>
      </c>
      <c r="J118" s="285">
        <f t="shared" si="52"/>
        <v>0</v>
      </c>
      <c r="K118" s="298">
        <f t="shared" si="53"/>
        <v>0</v>
      </c>
      <c r="L118" s="286">
        <f t="shared" si="54"/>
        <v>0</v>
      </c>
    </row>
    <row r="119" spans="1:12">
      <c r="A119" s="284"/>
      <c r="B119" s="285"/>
      <c r="C119" s="286"/>
      <c r="D119" s="285">
        <v>0</v>
      </c>
      <c r="E119" s="286"/>
      <c r="F119" s="286">
        <f t="shared" si="50"/>
        <v>0</v>
      </c>
      <c r="G119" s="285">
        <v>0</v>
      </c>
      <c r="H119" s="298">
        <f t="shared" si="55"/>
        <v>0</v>
      </c>
      <c r="I119" s="286">
        <f t="shared" si="51"/>
        <v>0</v>
      </c>
      <c r="J119" s="285">
        <f t="shared" si="52"/>
        <v>0</v>
      </c>
      <c r="K119" s="298">
        <f t="shared" si="53"/>
        <v>0</v>
      </c>
      <c r="L119" s="286">
        <f t="shared" si="54"/>
        <v>0</v>
      </c>
    </row>
    <row r="120" spans="1:12">
      <c r="A120" s="284"/>
      <c r="B120" s="285"/>
      <c r="C120" s="286"/>
      <c r="D120" s="285">
        <v>0</v>
      </c>
      <c r="E120" s="286"/>
      <c r="F120" s="286">
        <f t="shared" si="50"/>
        <v>0</v>
      </c>
      <c r="G120" s="285">
        <v>0</v>
      </c>
      <c r="H120" s="298">
        <f t="shared" si="55"/>
        <v>0</v>
      </c>
      <c r="I120" s="286">
        <f t="shared" si="51"/>
        <v>0</v>
      </c>
      <c r="J120" s="285">
        <f t="shared" si="52"/>
        <v>0</v>
      </c>
      <c r="K120" s="298">
        <f t="shared" si="53"/>
        <v>0</v>
      </c>
      <c r="L120" s="286">
        <f t="shared" si="54"/>
        <v>0</v>
      </c>
    </row>
    <row r="121" ht="13.5" spans="1:12">
      <c r="A121" s="284"/>
      <c r="B121" s="285"/>
      <c r="C121" s="286"/>
      <c r="D121" s="285"/>
      <c r="E121" s="286"/>
      <c r="F121" s="300" t="s">
        <v>133</v>
      </c>
      <c r="G121" s="301">
        <f>SUM(F109:F120)</f>
        <v>0</v>
      </c>
      <c r="H121" s="300" t="s">
        <v>134</v>
      </c>
      <c r="I121" s="302">
        <f>SUM(I109:I119)</f>
        <v>0</v>
      </c>
      <c r="J121" s="285"/>
      <c r="K121" s="300" t="s">
        <v>131</v>
      </c>
      <c r="L121" s="286">
        <f>L120</f>
        <v>0</v>
      </c>
    </row>
    <row r="124" ht="15.75" spans="1:12">
      <c r="A124" s="283" t="s">
        <v>116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</row>
    <row r="125" ht="12.75" spans="1:12">
      <c r="A125" s="284" t="s">
        <v>117</v>
      </c>
      <c r="B125" s="285"/>
      <c r="C125" s="286"/>
      <c r="D125" s="285"/>
      <c r="E125" s="286"/>
      <c r="F125" s="286"/>
      <c r="G125" s="285"/>
      <c r="H125" s="286"/>
      <c r="I125" s="287" t="s">
        <v>135</v>
      </c>
      <c r="J125" s="288"/>
      <c r="K125" s="288"/>
    </row>
    <row r="126" ht="13.5" spans="1:12">
      <c r="A126" s="289" t="s">
        <v>119</v>
      </c>
      <c r="B126" s="290" t="s">
        <v>120</v>
      </c>
      <c r="C126" s="290"/>
      <c r="D126" s="291" t="s">
        <v>121</v>
      </c>
      <c r="E126" s="291"/>
      <c r="F126" s="291"/>
      <c r="G126" s="292" t="s">
        <v>122</v>
      </c>
      <c r="H126" s="292"/>
      <c r="I126" s="292"/>
      <c r="J126" s="293" t="s">
        <v>123</v>
      </c>
      <c r="K126" s="293"/>
      <c r="L126" s="293"/>
    </row>
    <row r="127" ht="13.5" spans="1:12">
      <c r="A127" s="289"/>
      <c r="B127" s="290" t="s">
        <v>124</v>
      </c>
      <c r="C127" s="294" t="s">
        <v>125</v>
      </c>
      <c r="D127" s="290" t="s">
        <v>124</v>
      </c>
      <c r="E127" s="294" t="s">
        <v>126</v>
      </c>
      <c r="F127" s="294" t="s">
        <v>127</v>
      </c>
      <c r="G127" s="290" t="s">
        <v>124</v>
      </c>
      <c r="H127" s="295" t="s">
        <v>128</v>
      </c>
      <c r="I127" s="294" t="s">
        <v>129</v>
      </c>
      <c r="J127" s="290" t="s">
        <v>130</v>
      </c>
      <c r="K127" s="296" t="s">
        <v>128</v>
      </c>
      <c r="L127" s="294" t="s">
        <v>131</v>
      </c>
    </row>
    <row r="128" ht="12.75" spans="1:12">
      <c r="A128" s="297"/>
      <c r="B128" s="285"/>
      <c r="C128" s="286">
        <f>20*B128</f>
        <v>0</v>
      </c>
      <c r="D128" s="285"/>
      <c r="E128" s="286"/>
      <c r="F128" s="286"/>
      <c r="G128" s="285"/>
      <c r="H128" s="298"/>
      <c r="I128" s="298"/>
      <c r="J128" s="285"/>
      <c r="K128" s="298"/>
      <c r="L128" s="298">
        <v>0</v>
      </c>
    </row>
    <row r="129" spans="1:12">
      <c r="A129" s="284"/>
      <c r="B129" s="285"/>
      <c r="C129" s="286"/>
      <c r="D129" s="285">
        <v>0</v>
      </c>
      <c r="E129" s="286">
        <v>0</v>
      </c>
      <c r="F129" s="286">
        <f t="shared" ref="F129:F140" si="56">D129*E129</f>
        <v>0</v>
      </c>
      <c r="G129" s="285">
        <v>0</v>
      </c>
      <c r="H129" s="298"/>
      <c r="I129" s="286">
        <f t="shared" ref="I129:I140" si="57">IF(F129=0,G129*H129,0)</f>
        <v>0</v>
      </c>
      <c r="J129" s="285">
        <f t="shared" ref="J129:J140" si="58">D129-G129+J128</f>
        <v>0</v>
      </c>
      <c r="K129" s="298">
        <f t="shared" ref="K129:K140" si="59">IF(J129=0,0,L129/J129)</f>
        <v>0</v>
      </c>
      <c r="L129" s="286">
        <f t="shared" ref="L129:L140" si="60">IF(F129=0,L128-I129,L128+F129)</f>
        <v>0</v>
      </c>
    </row>
    <row r="130" spans="1:12">
      <c r="A130" s="284"/>
      <c r="B130" s="285"/>
      <c r="C130" s="286"/>
      <c r="D130" s="285">
        <v>0</v>
      </c>
      <c r="E130" s="286"/>
      <c r="F130" s="286">
        <f t="shared" si="56"/>
        <v>0</v>
      </c>
      <c r="G130" s="285">
        <v>0</v>
      </c>
      <c r="H130" s="298">
        <f t="shared" ref="H130:H140" si="61">K129</f>
        <v>0</v>
      </c>
      <c r="I130" s="286">
        <f t="shared" si="57"/>
        <v>0</v>
      </c>
      <c r="J130" s="285">
        <f t="shared" si="58"/>
        <v>0</v>
      </c>
      <c r="K130" s="298">
        <f t="shared" si="59"/>
        <v>0</v>
      </c>
      <c r="L130" s="286">
        <f t="shared" si="60"/>
        <v>0</v>
      </c>
    </row>
    <row r="131" spans="1:12">
      <c r="A131" s="284"/>
      <c r="B131" s="285"/>
      <c r="C131" s="286"/>
      <c r="D131" s="285">
        <v>0</v>
      </c>
      <c r="E131" s="286"/>
      <c r="F131" s="286">
        <f t="shared" si="56"/>
        <v>0</v>
      </c>
      <c r="G131" s="285">
        <v>0</v>
      </c>
      <c r="H131" s="298">
        <f t="shared" si="61"/>
        <v>0</v>
      </c>
      <c r="I131" s="286">
        <f t="shared" si="57"/>
        <v>0</v>
      </c>
      <c r="J131" s="285">
        <f t="shared" si="58"/>
        <v>0</v>
      </c>
      <c r="K131" s="298">
        <f t="shared" si="59"/>
        <v>0</v>
      </c>
      <c r="L131" s="286">
        <f t="shared" si="60"/>
        <v>0</v>
      </c>
    </row>
    <row r="132" spans="1:12">
      <c r="A132" s="284"/>
      <c r="B132" s="285"/>
      <c r="C132" s="286"/>
      <c r="D132" s="285">
        <v>0</v>
      </c>
      <c r="E132" s="286"/>
      <c r="F132" s="286">
        <f t="shared" si="56"/>
        <v>0</v>
      </c>
      <c r="G132" s="285">
        <v>0</v>
      </c>
      <c r="H132" s="298">
        <f t="shared" si="61"/>
        <v>0</v>
      </c>
      <c r="I132" s="286">
        <f t="shared" si="57"/>
        <v>0</v>
      </c>
      <c r="J132" s="285">
        <f t="shared" si="58"/>
        <v>0</v>
      </c>
      <c r="K132" s="298">
        <f t="shared" si="59"/>
        <v>0</v>
      </c>
      <c r="L132" s="286">
        <f t="shared" si="60"/>
        <v>0</v>
      </c>
    </row>
    <row r="133" spans="1:12">
      <c r="A133" s="284"/>
      <c r="B133" s="285"/>
      <c r="C133" s="286"/>
      <c r="D133" s="285">
        <v>0</v>
      </c>
      <c r="E133" s="286"/>
      <c r="F133" s="286">
        <f t="shared" si="56"/>
        <v>0</v>
      </c>
      <c r="G133" s="285">
        <v>0</v>
      </c>
      <c r="H133" s="298">
        <f t="shared" si="61"/>
        <v>0</v>
      </c>
      <c r="I133" s="286">
        <f t="shared" si="57"/>
        <v>0</v>
      </c>
      <c r="J133" s="285">
        <f t="shared" si="58"/>
        <v>0</v>
      </c>
      <c r="K133" s="298">
        <f t="shared" si="59"/>
        <v>0</v>
      </c>
      <c r="L133" s="286">
        <f t="shared" si="60"/>
        <v>0</v>
      </c>
    </row>
    <row r="134" spans="1:12">
      <c r="A134" s="284"/>
      <c r="B134" s="285"/>
      <c r="C134" s="286"/>
      <c r="D134" s="285">
        <v>0</v>
      </c>
      <c r="E134" s="286"/>
      <c r="F134" s="286">
        <f t="shared" si="56"/>
        <v>0</v>
      </c>
      <c r="G134" s="285">
        <v>0</v>
      </c>
      <c r="H134" s="298">
        <f t="shared" si="61"/>
        <v>0</v>
      </c>
      <c r="I134" s="286">
        <f t="shared" si="57"/>
        <v>0</v>
      </c>
      <c r="J134" s="285">
        <f t="shared" si="58"/>
        <v>0</v>
      </c>
      <c r="K134" s="298">
        <f t="shared" si="59"/>
        <v>0</v>
      </c>
      <c r="L134" s="286">
        <f t="shared" si="60"/>
        <v>0</v>
      </c>
    </row>
    <row r="135" spans="1:12">
      <c r="A135" s="284"/>
      <c r="B135" s="285"/>
      <c r="C135" s="286"/>
      <c r="D135" s="285">
        <v>0</v>
      </c>
      <c r="E135" s="286"/>
      <c r="F135" s="286">
        <f t="shared" si="56"/>
        <v>0</v>
      </c>
      <c r="G135" s="285">
        <v>0</v>
      </c>
      <c r="H135" s="298">
        <f t="shared" si="61"/>
        <v>0</v>
      </c>
      <c r="I135" s="286">
        <f t="shared" si="57"/>
        <v>0</v>
      </c>
      <c r="J135" s="285">
        <f t="shared" si="58"/>
        <v>0</v>
      </c>
      <c r="K135" s="298">
        <f t="shared" si="59"/>
        <v>0</v>
      </c>
      <c r="L135" s="286">
        <f t="shared" si="60"/>
        <v>0</v>
      </c>
    </row>
    <row r="136" spans="1:12">
      <c r="A136" s="284"/>
      <c r="B136" s="285"/>
      <c r="C136" s="286"/>
      <c r="D136" s="285">
        <v>0</v>
      </c>
      <c r="E136" s="286"/>
      <c r="F136" s="286">
        <f t="shared" si="56"/>
        <v>0</v>
      </c>
      <c r="G136" s="285">
        <v>0</v>
      </c>
      <c r="H136" s="298">
        <f t="shared" si="61"/>
        <v>0</v>
      </c>
      <c r="I136" s="286">
        <f t="shared" si="57"/>
        <v>0</v>
      </c>
      <c r="J136" s="285">
        <f t="shared" si="58"/>
        <v>0</v>
      </c>
      <c r="K136" s="298">
        <f t="shared" si="59"/>
        <v>0</v>
      </c>
      <c r="L136" s="286">
        <f t="shared" si="60"/>
        <v>0</v>
      </c>
    </row>
    <row r="137" spans="1:12">
      <c r="A137" s="284"/>
      <c r="B137" s="285"/>
      <c r="C137" s="286"/>
      <c r="D137" s="285">
        <v>0</v>
      </c>
      <c r="E137" s="286"/>
      <c r="F137" s="286">
        <f t="shared" si="56"/>
        <v>0</v>
      </c>
      <c r="G137" s="285">
        <v>0</v>
      </c>
      <c r="H137" s="298">
        <f t="shared" si="61"/>
        <v>0</v>
      </c>
      <c r="I137" s="286">
        <f t="shared" si="57"/>
        <v>0</v>
      </c>
      <c r="J137" s="285">
        <f t="shared" si="58"/>
        <v>0</v>
      </c>
      <c r="K137" s="298">
        <f t="shared" si="59"/>
        <v>0</v>
      </c>
      <c r="L137" s="286">
        <f t="shared" si="60"/>
        <v>0</v>
      </c>
    </row>
    <row r="138" spans="1:12">
      <c r="A138" s="299"/>
      <c r="B138" s="285"/>
      <c r="C138" s="286"/>
      <c r="D138" s="285">
        <v>0</v>
      </c>
      <c r="E138" s="286"/>
      <c r="F138" s="286">
        <f t="shared" si="56"/>
        <v>0</v>
      </c>
      <c r="G138" s="285">
        <v>0</v>
      </c>
      <c r="H138" s="298">
        <f t="shared" si="61"/>
        <v>0</v>
      </c>
      <c r="I138" s="286">
        <f t="shared" si="57"/>
        <v>0</v>
      </c>
      <c r="J138" s="285">
        <f t="shared" si="58"/>
        <v>0</v>
      </c>
      <c r="K138" s="298">
        <f t="shared" si="59"/>
        <v>0</v>
      </c>
      <c r="L138" s="286">
        <f t="shared" si="60"/>
        <v>0</v>
      </c>
    </row>
    <row r="139" spans="1:12">
      <c r="A139" s="284"/>
      <c r="B139" s="285"/>
      <c r="C139" s="286"/>
      <c r="D139" s="285">
        <v>0</v>
      </c>
      <c r="E139" s="286"/>
      <c r="F139" s="286">
        <f t="shared" si="56"/>
        <v>0</v>
      </c>
      <c r="G139" s="285">
        <v>0</v>
      </c>
      <c r="H139" s="298">
        <f t="shared" si="61"/>
        <v>0</v>
      </c>
      <c r="I139" s="286">
        <f t="shared" si="57"/>
        <v>0</v>
      </c>
      <c r="J139" s="285">
        <f t="shared" si="58"/>
        <v>0</v>
      </c>
      <c r="K139" s="298">
        <f t="shared" si="59"/>
        <v>0</v>
      </c>
      <c r="L139" s="286">
        <f t="shared" si="60"/>
        <v>0</v>
      </c>
    </row>
    <row r="140" spans="1:12">
      <c r="A140" s="284"/>
      <c r="B140" s="285"/>
      <c r="C140" s="286"/>
      <c r="D140" s="285">
        <v>0</v>
      </c>
      <c r="E140" s="286"/>
      <c r="F140" s="286">
        <f t="shared" si="56"/>
        <v>0</v>
      </c>
      <c r="G140" s="285">
        <v>0</v>
      </c>
      <c r="H140" s="298">
        <f t="shared" si="61"/>
        <v>0</v>
      </c>
      <c r="I140" s="286">
        <f t="shared" si="57"/>
        <v>0</v>
      </c>
      <c r="J140" s="285">
        <f t="shared" si="58"/>
        <v>0</v>
      </c>
      <c r="K140" s="298">
        <f t="shared" si="59"/>
        <v>0</v>
      </c>
      <c r="L140" s="286">
        <f t="shared" si="60"/>
        <v>0</v>
      </c>
    </row>
    <row r="141" ht="13.5" spans="1:12">
      <c r="A141" s="284"/>
      <c r="B141" s="285"/>
      <c r="C141" s="286"/>
      <c r="D141" s="285"/>
      <c r="E141" s="286"/>
      <c r="F141" s="300" t="s">
        <v>133</v>
      </c>
      <c r="G141" s="301">
        <f>SUM(F129:F140)</f>
        <v>0</v>
      </c>
      <c r="H141" s="300" t="s">
        <v>134</v>
      </c>
      <c r="I141" s="302">
        <f>SUM(I129:I139)</f>
        <v>0</v>
      </c>
      <c r="J141" s="285"/>
      <c r="K141" s="300" t="s">
        <v>131</v>
      </c>
      <c r="L141" s="286">
        <f>L140</f>
        <v>0</v>
      </c>
    </row>
    <row r="144" ht="15.75" spans="1:12">
      <c r="A144" s="283" t="s">
        <v>116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</row>
    <row r="145" ht="12.75" spans="1:12">
      <c r="A145" s="284" t="s">
        <v>117</v>
      </c>
      <c r="B145" s="285"/>
      <c r="C145" s="286"/>
      <c r="D145" s="285"/>
      <c r="E145" s="286"/>
      <c r="F145" s="286"/>
      <c r="G145" s="285"/>
      <c r="H145" s="286"/>
      <c r="I145" s="287" t="s">
        <v>135</v>
      </c>
      <c r="J145" s="288"/>
      <c r="K145" s="288"/>
    </row>
    <row r="146" ht="13.5" spans="1:12">
      <c r="A146" s="289" t="s">
        <v>119</v>
      </c>
      <c r="B146" s="290" t="s">
        <v>120</v>
      </c>
      <c r="C146" s="290"/>
      <c r="D146" s="291" t="s">
        <v>121</v>
      </c>
      <c r="E146" s="291"/>
      <c r="F146" s="291"/>
      <c r="G146" s="292" t="s">
        <v>122</v>
      </c>
      <c r="H146" s="292"/>
      <c r="I146" s="292"/>
      <c r="J146" s="293" t="s">
        <v>123</v>
      </c>
      <c r="K146" s="293"/>
      <c r="L146" s="293"/>
    </row>
    <row r="147" ht="13.5" spans="1:12">
      <c r="A147" s="289"/>
      <c r="B147" s="290" t="s">
        <v>124</v>
      </c>
      <c r="C147" s="294" t="s">
        <v>125</v>
      </c>
      <c r="D147" s="290" t="s">
        <v>124</v>
      </c>
      <c r="E147" s="294" t="s">
        <v>126</v>
      </c>
      <c r="F147" s="294" t="s">
        <v>127</v>
      </c>
      <c r="G147" s="290" t="s">
        <v>124</v>
      </c>
      <c r="H147" s="295" t="s">
        <v>128</v>
      </c>
      <c r="I147" s="294" t="s">
        <v>129</v>
      </c>
      <c r="J147" s="290" t="s">
        <v>130</v>
      </c>
      <c r="K147" s="296" t="s">
        <v>128</v>
      </c>
      <c r="L147" s="294" t="s">
        <v>131</v>
      </c>
    </row>
    <row r="148" ht="12.75" spans="1:12">
      <c r="A148" s="297"/>
      <c r="B148" s="285"/>
      <c r="C148" s="286">
        <f>20*B148</f>
        <v>0</v>
      </c>
      <c r="D148" s="285"/>
      <c r="E148" s="286"/>
      <c r="F148" s="286"/>
      <c r="G148" s="285"/>
      <c r="H148" s="298"/>
      <c r="I148" s="298"/>
      <c r="J148" s="285"/>
      <c r="K148" s="298"/>
      <c r="L148" s="298">
        <v>0</v>
      </c>
    </row>
    <row r="149" spans="1:12">
      <c r="A149" s="284"/>
      <c r="B149" s="285"/>
      <c r="C149" s="286"/>
      <c r="D149" s="285">
        <v>0</v>
      </c>
      <c r="E149" s="286">
        <v>0</v>
      </c>
      <c r="F149" s="286">
        <f t="shared" ref="F149:F160" si="62">D149*E149</f>
        <v>0</v>
      </c>
      <c r="G149" s="285">
        <v>0</v>
      </c>
      <c r="H149" s="298"/>
      <c r="I149" s="286">
        <f t="shared" ref="I149:I160" si="63">IF(F149=0,G149*H149,0)</f>
        <v>0</v>
      </c>
      <c r="J149" s="285">
        <f t="shared" ref="J149:J160" si="64">D149-G149+J148</f>
        <v>0</v>
      </c>
      <c r="K149" s="298">
        <f t="shared" ref="K149:K160" si="65">IF(J149=0,0,L149/J149)</f>
        <v>0</v>
      </c>
      <c r="L149" s="286">
        <f t="shared" ref="L149:L160" si="66">IF(F149=0,L148-I149,L148+F149)</f>
        <v>0</v>
      </c>
    </row>
    <row r="150" spans="1:12">
      <c r="A150" s="284"/>
      <c r="B150" s="285"/>
      <c r="C150" s="286"/>
      <c r="D150" s="285">
        <v>0</v>
      </c>
      <c r="E150" s="286"/>
      <c r="F150" s="286">
        <f t="shared" si="62"/>
        <v>0</v>
      </c>
      <c r="G150" s="285">
        <v>0</v>
      </c>
      <c r="H150" s="298">
        <f t="shared" ref="H150:H160" si="67">K149</f>
        <v>0</v>
      </c>
      <c r="I150" s="286">
        <f t="shared" si="63"/>
        <v>0</v>
      </c>
      <c r="J150" s="285">
        <f t="shared" si="64"/>
        <v>0</v>
      </c>
      <c r="K150" s="298">
        <f t="shared" si="65"/>
        <v>0</v>
      </c>
      <c r="L150" s="286">
        <f t="shared" si="66"/>
        <v>0</v>
      </c>
    </row>
    <row r="151" spans="1:12">
      <c r="A151" s="284"/>
      <c r="B151" s="285"/>
      <c r="C151" s="286"/>
      <c r="D151" s="285">
        <v>0</v>
      </c>
      <c r="E151" s="286"/>
      <c r="F151" s="286">
        <f t="shared" si="62"/>
        <v>0</v>
      </c>
      <c r="G151" s="285">
        <v>0</v>
      </c>
      <c r="H151" s="298">
        <f t="shared" si="67"/>
        <v>0</v>
      </c>
      <c r="I151" s="286">
        <f t="shared" si="63"/>
        <v>0</v>
      </c>
      <c r="J151" s="285">
        <f t="shared" si="64"/>
        <v>0</v>
      </c>
      <c r="K151" s="298">
        <f t="shared" si="65"/>
        <v>0</v>
      </c>
      <c r="L151" s="286">
        <f t="shared" si="66"/>
        <v>0</v>
      </c>
    </row>
    <row r="152" spans="1:12">
      <c r="A152" s="284"/>
      <c r="B152" s="285"/>
      <c r="C152" s="286"/>
      <c r="D152" s="285">
        <v>0</v>
      </c>
      <c r="E152" s="286"/>
      <c r="F152" s="286">
        <f t="shared" si="62"/>
        <v>0</v>
      </c>
      <c r="G152" s="285">
        <v>0</v>
      </c>
      <c r="H152" s="298">
        <f t="shared" si="67"/>
        <v>0</v>
      </c>
      <c r="I152" s="286">
        <f t="shared" si="63"/>
        <v>0</v>
      </c>
      <c r="J152" s="285">
        <f t="shared" si="64"/>
        <v>0</v>
      </c>
      <c r="K152" s="298">
        <f t="shared" si="65"/>
        <v>0</v>
      </c>
      <c r="L152" s="286">
        <f t="shared" si="66"/>
        <v>0</v>
      </c>
    </row>
    <row r="153" spans="1:12">
      <c r="A153" s="284"/>
      <c r="B153" s="285"/>
      <c r="C153" s="286"/>
      <c r="D153" s="285">
        <v>0</v>
      </c>
      <c r="E153" s="286"/>
      <c r="F153" s="286">
        <f t="shared" si="62"/>
        <v>0</v>
      </c>
      <c r="G153" s="285">
        <v>0</v>
      </c>
      <c r="H153" s="298">
        <f t="shared" si="67"/>
        <v>0</v>
      </c>
      <c r="I153" s="286">
        <f t="shared" si="63"/>
        <v>0</v>
      </c>
      <c r="J153" s="285">
        <f t="shared" si="64"/>
        <v>0</v>
      </c>
      <c r="K153" s="298">
        <f t="shared" si="65"/>
        <v>0</v>
      </c>
      <c r="L153" s="286">
        <f t="shared" si="66"/>
        <v>0</v>
      </c>
    </row>
    <row r="154" spans="1:12">
      <c r="A154" s="284"/>
      <c r="B154" s="285"/>
      <c r="C154" s="286"/>
      <c r="D154" s="285">
        <v>0</v>
      </c>
      <c r="E154" s="286"/>
      <c r="F154" s="286">
        <f t="shared" si="62"/>
        <v>0</v>
      </c>
      <c r="G154" s="285">
        <v>0</v>
      </c>
      <c r="H154" s="298">
        <f t="shared" si="67"/>
        <v>0</v>
      </c>
      <c r="I154" s="286">
        <f t="shared" si="63"/>
        <v>0</v>
      </c>
      <c r="J154" s="285">
        <f t="shared" si="64"/>
        <v>0</v>
      </c>
      <c r="K154" s="298">
        <f t="shared" si="65"/>
        <v>0</v>
      </c>
      <c r="L154" s="286">
        <f t="shared" si="66"/>
        <v>0</v>
      </c>
    </row>
    <row r="155" spans="1:12">
      <c r="A155" s="284"/>
      <c r="B155" s="285"/>
      <c r="C155" s="286"/>
      <c r="D155" s="285">
        <v>0</v>
      </c>
      <c r="E155" s="286"/>
      <c r="F155" s="286">
        <f t="shared" si="62"/>
        <v>0</v>
      </c>
      <c r="G155" s="285">
        <v>0</v>
      </c>
      <c r="H155" s="298">
        <f t="shared" si="67"/>
        <v>0</v>
      </c>
      <c r="I155" s="286">
        <f t="shared" si="63"/>
        <v>0</v>
      </c>
      <c r="J155" s="285">
        <f t="shared" si="64"/>
        <v>0</v>
      </c>
      <c r="K155" s="298">
        <f t="shared" si="65"/>
        <v>0</v>
      </c>
      <c r="L155" s="286">
        <f t="shared" si="66"/>
        <v>0</v>
      </c>
    </row>
    <row r="156" spans="1:12">
      <c r="A156" s="284"/>
      <c r="B156" s="285"/>
      <c r="C156" s="286"/>
      <c r="D156" s="285">
        <v>0</v>
      </c>
      <c r="E156" s="286"/>
      <c r="F156" s="286">
        <f t="shared" si="62"/>
        <v>0</v>
      </c>
      <c r="G156" s="285">
        <v>0</v>
      </c>
      <c r="H156" s="298">
        <f t="shared" si="67"/>
        <v>0</v>
      </c>
      <c r="I156" s="286">
        <f t="shared" si="63"/>
        <v>0</v>
      </c>
      <c r="J156" s="285">
        <f t="shared" si="64"/>
        <v>0</v>
      </c>
      <c r="K156" s="298">
        <f t="shared" si="65"/>
        <v>0</v>
      </c>
      <c r="L156" s="286">
        <f t="shared" si="66"/>
        <v>0</v>
      </c>
    </row>
    <row r="157" spans="1:12">
      <c r="A157" s="284"/>
      <c r="B157" s="285"/>
      <c r="C157" s="286"/>
      <c r="D157" s="285">
        <v>0</v>
      </c>
      <c r="E157" s="286"/>
      <c r="F157" s="286">
        <f t="shared" si="62"/>
        <v>0</v>
      </c>
      <c r="G157" s="285">
        <v>0</v>
      </c>
      <c r="H157" s="298">
        <f t="shared" si="67"/>
        <v>0</v>
      </c>
      <c r="I157" s="286">
        <f t="shared" si="63"/>
        <v>0</v>
      </c>
      <c r="J157" s="285">
        <f t="shared" si="64"/>
        <v>0</v>
      </c>
      <c r="K157" s="298">
        <f t="shared" si="65"/>
        <v>0</v>
      </c>
      <c r="L157" s="286">
        <f t="shared" si="66"/>
        <v>0</v>
      </c>
    </row>
    <row r="158" spans="1:12">
      <c r="A158" s="299"/>
      <c r="B158" s="285"/>
      <c r="C158" s="286"/>
      <c r="D158" s="285">
        <v>0</v>
      </c>
      <c r="E158" s="286"/>
      <c r="F158" s="286">
        <f t="shared" si="62"/>
        <v>0</v>
      </c>
      <c r="G158" s="285">
        <v>0</v>
      </c>
      <c r="H158" s="298">
        <f t="shared" si="67"/>
        <v>0</v>
      </c>
      <c r="I158" s="286">
        <f t="shared" si="63"/>
        <v>0</v>
      </c>
      <c r="J158" s="285">
        <f t="shared" si="64"/>
        <v>0</v>
      </c>
      <c r="K158" s="298">
        <f t="shared" si="65"/>
        <v>0</v>
      </c>
      <c r="L158" s="286">
        <f t="shared" si="66"/>
        <v>0</v>
      </c>
    </row>
    <row r="159" spans="1:12">
      <c r="A159" s="284"/>
      <c r="B159" s="285"/>
      <c r="C159" s="286"/>
      <c r="D159" s="285">
        <v>0</v>
      </c>
      <c r="E159" s="286"/>
      <c r="F159" s="286">
        <f t="shared" si="62"/>
        <v>0</v>
      </c>
      <c r="G159" s="285">
        <v>0</v>
      </c>
      <c r="H159" s="298">
        <f t="shared" si="67"/>
        <v>0</v>
      </c>
      <c r="I159" s="286">
        <f t="shared" si="63"/>
        <v>0</v>
      </c>
      <c r="J159" s="285">
        <f t="shared" si="64"/>
        <v>0</v>
      </c>
      <c r="K159" s="298">
        <f t="shared" si="65"/>
        <v>0</v>
      </c>
      <c r="L159" s="286">
        <f t="shared" si="66"/>
        <v>0</v>
      </c>
    </row>
    <row r="160" spans="1:12">
      <c r="A160" s="284"/>
      <c r="B160" s="285"/>
      <c r="C160" s="286"/>
      <c r="D160" s="285">
        <v>0</v>
      </c>
      <c r="E160" s="286"/>
      <c r="F160" s="286">
        <f t="shared" si="62"/>
        <v>0</v>
      </c>
      <c r="G160" s="285">
        <v>0</v>
      </c>
      <c r="H160" s="298">
        <f t="shared" si="67"/>
        <v>0</v>
      </c>
      <c r="I160" s="286">
        <f t="shared" si="63"/>
        <v>0</v>
      </c>
      <c r="J160" s="285">
        <f t="shared" si="64"/>
        <v>0</v>
      </c>
      <c r="K160" s="298">
        <f t="shared" si="65"/>
        <v>0</v>
      </c>
      <c r="L160" s="286">
        <f t="shared" si="66"/>
        <v>0</v>
      </c>
    </row>
    <row r="161" ht="13.5" spans="1:12">
      <c r="A161" s="284"/>
      <c r="B161" s="285"/>
      <c r="C161" s="286"/>
      <c r="D161" s="285"/>
      <c r="E161" s="286"/>
      <c r="F161" s="300" t="s">
        <v>133</v>
      </c>
      <c r="G161" s="301">
        <f>SUM(F149:F160)</f>
        <v>0</v>
      </c>
      <c r="H161" s="300" t="s">
        <v>134</v>
      </c>
      <c r="I161" s="302">
        <f>SUM(I149:I159)</f>
        <v>0</v>
      </c>
      <c r="J161" s="285"/>
      <c r="K161" s="300" t="s">
        <v>131</v>
      </c>
      <c r="L161" s="286">
        <f>L160</f>
        <v>0</v>
      </c>
    </row>
    <row r="164" ht="15.75" spans="1:12">
      <c r="A164" s="283" t="s">
        <v>116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</row>
    <row r="165" ht="12.75" spans="1:12">
      <c r="A165" s="284" t="s">
        <v>117</v>
      </c>
      <c r="B165" s="285"/>
      <c r="C165" s="286"/>
      <c r="D165" s="285"/>
      <c r="E165" s="286"/>
      <c r="F165" s="286"/>
      <c r="G165" s="285"/>
      <c r="H165" s="286"/>
      <c r="I165" s="287" t="s">
        <v>135</v>
      </c>
      <c r="J165" s="288"/>
      <c r="K165" s="288"/>
    </row>
    <row r="166" ht="13.5" spans="1:12">
      <c r="A166" s="289" t="s">
        <v>119</v>
      </c>
      <c r="B166" s="290" t="s">
        <v>120</v>
      </c>
      <c r="C166" s="290"/>
      <c r="D166" s="291" t="s">
        <v>121</v>
      </c>
      <c r="E166" s="291"/>
      <c r="F166" s="291"/>
      <c r="G166" s="292" t="s">
        <v>122</v>
      </c>
      <c r="H166" s="292"/>
      <c r="I166" s="292"/>
      <c r="J166" s="293" t="s">
        <v>123</v>
      </c>
      <c r="K166" s="293"/>
      <c r="L166" s="293"/>
    </row>
    <row r="167" ht="13.5" spans="1:12">
      <c r="A167" s="289"/>
      <c r="B167" s="290" t="s">
        <v>124</v>
      </c>
      <c r="C167" s="294" t="s">
        <v>125</v>
      </c>
      <c r="D167" s="290" t="s">
        <v>124</v>
      </c>
      <c r="E167" s="294" t="s">
        <v>126</v>
      </c>
      <c r="F167" s="294" t="s">
        <v>127</v>
      </c>
      <c r="G167" s="290" t="s">
        <v>124</v>
      </c>
      <c r="H167" s="295" t="s">
        <v>128</v>
      </c>
      <c r="I167" s="294" t="s">
        <v>129</v>
      </c>
      <c r="J167" s="290" t="s">
        <v>130</v>
      </c>
      <c r="K167" s="296" t="s">
        <v>128</v>
      </c>
      <c r="L167" s="294" t="s">
        <v>131</v>
      </c>
    </row>
    <row r="168" ht="12.75" spans="1:12">
      <c r="A168" s="297"/>
      <c r="B168" s="285"/>
      <c r="C168" s="286">
        <f>20*B168</f>
        <v>0</v>
      </c>
      <c r="D168" s="285"/>
      <c r="E168" s="286"/>
      <c r="F168" s="286"/>
      <c r="G168" s="285"/>
      <c r="H168" s="298"/>
      <c r="I168" s="298"/>
      <c r="J168" s="285"/>
      <c r="K168" s="298"/>
      <c r="L168" s="298">
        <v>0</v>
      </c>
    </row>
    <row r="169" spans="1:12">
      <c r="A169" s="284"/>
      <c r="B169" s="285"/>
      <c r="C169" s="286"/>
      <c r="D169" s="285">
        <v>0</v>
      </c>
      <c r="E169" s="286">
        <v>0</v>
      </c>
      <c r="F169" s="286">
        <f t="shared" ref="F169:F180" si="68">D169*E169</f>
        <v>0</v>
      </c>
      <c r="G169" s="285">
        <v>0</v>
      </c>
      <c r="H169" s="298"/>
      <c r="I169" s="286">
        <f t="shared" ref="I169:I180" si="69">IF(F169=0,G169*H169,0)</f>
        <v>0</v>
      </c>
      <c r="J169" s="285">
        <f t="shared" ref="J169:J180" si="70">D169-G169+J168</f>
        <v>0</v>
      </c>
      <c r="K169" s="298">
        <f t="shared" ref="K169:K180" si="71">IF(J169=0,0,L169/J169)</f>
        <v>0</v>
      </c>
      <c r="L169" s="286">
        <f t="shared" ref="L169:L180" si="72">IF(F169=0,L168-I169,L168+F169)</f>
        <v>0</v>
      </c>
    </row>
    <row r="170" spans="1:12">
      <c r="A170" s="284"/>
      <c r="B170" s="285"/>
      <c r="C170" s="286"/>
      <c r="D170" s="285">
        <v>0</v>
      </c>
      <c r="E170" s="286"/>
      <c r="F170" s="286">
        <f t="shared" si="68"/>
        <v>0</v>
      </c>
      <c r="G170" s="285">
        <v>0</v>
      </c>
      <c r="H170" s="298">
        <f t="shared" ref="H170:H180" si="73">K169</f>
        <v>0</v>
      </c>
      <c r="I170" s="286">
        <f t="shared" si="69"/>
        <v>0</v>
      </c>
      <c r="J170" s="285">
        <f t="shared" si="70"/>
        <v>0</v>
      </c>
      <c r="K170" s="298">
        <f t="shared" si="71"/>
        <v>0</v>
      </c>
      <c r="L170" s="286">
        <f t="shared" si="72"/>
        <v>0</v>
      </c>
    </row>
    <row r="171" spans="1:12">
      <c r="A171" s="284"/>
      <c r="B171" s="285"/>
      <c r="C171" s="286"/>
      <c r="D171" s="285">
        <v>0</v>
      </c>
      <c r="E171" s="286"/>
      <c r="F171" s="286">
        <f t="shared" si="68"/>
        <v>0</v>
      </c>
      <c r="G171" s="285">
        <v>0</v>
      </c>
      <c r="H171" s="298">
        <f t="shared" si="73"/>
        <v>0</v>
      </c>
      <c r="I171" s="286">
        <f t="shared" si="69"/>
        <v>0</v>
      </c>
      <c r="J171" s="285">
        <f t="shared" si="70"/>
        <v>0</v>
      </c>
      <c r="K171" s="298">
        <f t="shared" si="71"/>
        <v>0</v>
      </c>
      <c r="L171" s="286">
        <f t="shared" si="72"/>
        <v>0</v>
      </c>
    </row>
    <row r="172" spans="1:12">
      <c r="A172" s="284"/>
      <c r="B172" s="285"/>
      <c r="C172" s="286"/>
      <c r="D172" s="285">
        <v>0</v>
      </c>
      <c r="E172" s="286"/>
      <c r="F172" s="286">
        <f t="shared" si="68"/>
        <v>0</v>
      </c>
      <c r="G172" s="285">
        <v>0</v>
      </c>
      <c r="H172" s="298">
        <f t="shared" si="73"/>
        <v>0</v>
      </c>
      <c r="I172" s="286">
        <f t="shared" si="69"/>
        <v>0</v>
      </c>
      <c r="J172" s="285">
        <f t="shared" si="70"/>
        <v>0</v>
      </c>
      <c r="K172" s="298">
        <f t="shared" si="71"/>
        <v>0</v>
      </c>
      <c r="L172" s="286">
        <f t="shared" si="72"/>
        <v>0</v>
      </c>
    </row>
    <row r="173" spans="1:12">
      <c r="A173" s="284"/>
      <c r="B173" s="285"/>
      <c r="C173" s="286"/>
      <c r="D173" s="285">
        <v>0</v>
      </c>
      <c r="E173" s="286"/>
      <c r="F173" s="286">
        <f t="shared" si="68"/>
        <v>0</v>
      </c>
      <c r="G173" s="285">
        <v>0</v>
      </c>
      <c r="H173" s="298">
        <f t="shared" si="73"/>
        <v>0</v>
      </c>
      <c r="I173" s="286">
        <f t="shared" si="69"/>
        <v>0</v>
      </c>
      <c r="J173" s="285">
        <f t="shared" si="70"/>
        <v>0</v>
      </c>
      <c r="K173" s="298">
        <f t="shared" si="71"/>
        <v>0</v>
      </c>
      <c r="L173" s="286">
        <f t="shared" si="72"/>
        <v>0</v>
      </c>
    </row>
    <row r="174" spans="1:12">
      <c r="A174" s="284"/>
      <c r="B174" s="285"/>
      <c r="C174" s="286"/>
      <c r="D174" s="285">
        <v>0</v>
      </c>
      <c r="E174" s="286"/>
      <c r="F174" s="286">
        <f t="shared" si="68"/>
        <v>0</v>
      </c>
      <c r="G174" s="285">
        <v>0</v>
      </c>
      <c r="H174" s="298">
        <f t="shared" si="73"/>
        <v>0</v>
      </c>
      <c r="I174" s="286">
        <f t="shared" si="69"/>
        <v>0</v>
      </c>
      <c r="J174" s="285">
        <f t="shared" si="70"/>
        <v>0</v>
      </c>
      <c r="K174" s="298">
        <f t="shared" si="71"/>
        <v>0</v>
      </c>
      <c r="L174" s="286">
        <f t="shared" si="72"/>
        <v>0</v>
      </c>
    </row>
    <row r="175" spans="1:12">
      <c r="A175" s="284"/>
      <c r="B175" s="285"/>
      <c r="C175" s="286"/>
      <c r="D175" s="285">
        <v>0</v>
      </c>
      <c r="E175" s="286"/>
      <c r="F175" s="286">
        <f t="shared" si="68"/>
        <v>0</v>
      </c>
      <c r="G175" s="285">
        <v>0</v>
      </c>
      <c r="H175" s="298">
        <f t="shared" si="73"/>
        <v>0</v>
      </c>
      <c r="I175" s="286">
        <f t="shared" si="69"/>
        <v>0</v>
      </c>
      <c r="J175" s="285">
        <f t="shared" si="70"/>
        <v>0</v>
      </c>
      <c r="K175" s="298">
        <f t="shared" si="71"/>
        <v>0</v>
      </c>
      <c r="L175" s="286">
        <f t="shared" si="72"/>
        <v>0</v>
      </c>
    </row>
    <row r="176" spans="1:12">
      <c r="A176" s="284"/>
      <c r="B176" s="285"/>
      <c r="C176" s="286"/>
      <c r="D176" s="285">
        <v>0</v>
      </c>
      <c r="E176" s="286"/>
      <c r="F176" s="286">
        <f t="shared" si="68"/>
        <v>0</v>
      </c>
      <c r="G176" s="285">
        <v>0</v>
      </c>
      <c r="H176" s="298">
        <f t="shared" si="73"/>
        <v>0</v>
      </c>
      <c r="I176" s="286">
        <f t="shared" si="69"/>
        <v>0</v>
      </c>
      <c r="J176" s="285">
        <f t="shared" si="70"/>
        <v>0</v>
      </c>
      <c r="K176" s="298">
        <f t="shared" si="71"/>
        <v>0</v>
      </c>
      <c r="L176" s="286">
        <f t="shared" si="72"/>
        <v>0</v>
      </c>
    </row>
    <row r="177" spans="1:12">
      <c r="A177" s="284"/>
      <c r="B177" s="285"/>
      <c r="C177" s="286"/>
      <c r="D177" s="285">
        <v>0</v>
      </c>
      <c r="E177" s="286"/>
      <c r="F177" s="286">
        <f t="shared" si="68"/>
        <v>0</v>
      </c>
      <c r="G177" s="285">
        <v>0</v>
      </c>
      <c r="H177" s="298">
        <f t="shared" si="73"/>
        <v>0</v>
      </c>
      <c r="I177" s="286">
        <f t="shared" si="69"/>
        <v>0</v>
      </c>
      <c r="J177" s="285">
        <f t="shared" si="70"/>
        <v>0</v>
      </c>
      <c r="K177" s="298">
        <f t="shared" si="71"/>
        <v>0</v>
      </c>
      <c r="L177" s="286">
        <f t="shared" si="72"/>
        <v>0</v>
      </c>
    </row>
    <row r="178" spans="1:12">
      <c r="A178" s="299"/>
      <c r="B178" s="285"/>
      <c r="C178" s="286"/>
      <c r="D178" s="285">
        <v>0</v>
      </c>
      <c r="E178" s="286"/>
      <c r="F178" s="286">
        <f t="shared" si="68"/>
        <v>0</v>
      </c>
      <c r="G178" s="285">
        <v>0</v>
      </c>
      <c r="H178" s="298">
        <f t="shared" si="73"/>
        <v>0</v>
      </c>
      <c r="I178" s="286">
        <f t="shared" si="69"/>
        <v>0</v>
      </c>
      <c r="J178" s="285">
        <f t="shared" si="70"/>
        <v>0</v>
      </c>
      <c r="K178" s="298">
        <f t="shared" si="71"/>
        <v>0</v>
      </c>
      <c r="L178" s="286">
        <f t="shared" si="72"/>
        <v>0</v>
      </c>
    </row>
    <row r="179" spans="1:12">
      <c r="A179" s="284"/>
      <c r="B179" s="285"/>
      <c r="C179" s="286"/>
      <c r="D179" s="285">
        <v>0</v>
      </c>
      <c r="E179" s="286"/>
      <c r="F179" s="286">
        <f t="shared" si="68"/>
        <v>0</v>
      </c>
      <c r="G179" s="285">
        <v>0</v>
      </c>
      <c r="H179" s="298">
        <f t="shared" si="73"/>
        <v>0</v>
      </c>
      <c r="I179" s="286">
        <f t="shared" si="69"/>
        <v>0</v>
      </c>
      <c r="J179" s="285">
        <f t="shared" si="70"/>
        <v>0</v>
      </c>
      <c r="K179" s="298">
        <f t="shared" si="71"/>
        <v>0</v>
      </c>
      <c r="L179" s="286">
        <f t="shared" si="72"/>
        <v>0</v>
      </c>
    </row>
    <row r="180" spans="1:12">
      <c r="A180" s="284"/>
      <c r="B180" s="285"/>
      <c r="C180" s="286"/>
      <c r="D180" s="285">
        <v>0</v>
      </c>
      <c r="E180" s="286"/>
      <c r="F180" s="286">
        <f t="shared" si="68"/>
        <v>0</v>
      </c>
      <c r="G180" s="285">
        <v>0</v>
      </c>
      <c r="H180" s="298">
        <f t="shared" si="73"/>
        <v>0</v>
      </c>
      <c r="I180" s="286">
        <f t="shared" si="69"/>
        <v>0</v>
      </c>
      <c r="J180" s="285">
        <f t="shared" si="70"/>
        <v>0</v>
      </c>
      <c r="K180" s="298">
        <f t="shared" si="71"/>
        <v>0</v>
      </c>
      <c r="L180" s="286">
        <f t="shared" si="72"/>
        <v>0</v>
      </c>
    </row>
    <row r="181" ht="13.5" spans="1:12">
      <c r="A181" s="284"/>
      <c r="B181" s="285"/>
      <c r="C181" s="286"/>
      <c r="D181" s="285"/>
      <c r="E181" s="286"/>
      <c r="F181" s="300" t="s">
        <v>133</v>
      </c>
      <c r="G181" s="301">
        <f>SUM(F169:F180)</f>
        <v>0</v>
      </c>
      <c r="H181" s="300" t="s">
        <v>134</v>
      </c>
      <c r="I181" s="302">
        <f>SUM(I169:I179)</f>
        <v>0</v>
      </c>
      <c r="J181" s="285"/>
      <c r="K181" s="300" t="s">
        <v>131</v>
      </c>
      <c r="L181" s="286">
        <f>L180</f>
        <v>0</v>
      </c>
    </row>
    <row r="184" ht="15.75" spans="1:12">
      <c r="A184" s="283" t="s">
        <v>116</v>
      </c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</row>
    <row r="185" ht="12.75" spans="1:12">
      <c r="A185" s="284" t="s">
        <v>117</v>
      </c>
      <c r="B185" s="285"/>
      <c r="C185" s="286"/>
      <c r="D185" s="285"/>
      <c r="E185" s="286"/>
      <c r="F185" s="286"/>
      <c r="G185" s="285"/>
      <c r="H185" s="286"/>
      <c r="I185" s="287" t="s">
        <v>135</v>
      </c>
      <c r="J185" s="288"/>
      <c r="K185" s="288"/>
    </row>
    <row r="186" ht="13.5" spans="1:12">
      <c r="A186" s="289" t="s">
        <v>119</v>
      </c>
      <c r="B186" s="290" t="s">
        <v>120</v>
      </c>
      <c r="C186" s="290"/>
      <c r="D186" s="291" t="s">
        <v>121</v>
      </c>
      <c r="E186" s="291"/>
      <c r="F186" s="291"/>
      <c r="G186" s="292" t="s">
        <v>122</v>
      </c>
      <c r="H186" s="292"/>
      <c r="I186" s="292"/>
      <c r="J186" s="293" t="s">
        <v>123</v>
      </c>
      <c r="K186" s="293"/>
      <c r="L186" s="293"/>
    </row>
    <row r="187" ht="13.5" spans="1:12">
      <c r="A187" s="289"/>
      <c r="B187" s="290" t="s">
        <v>124</v>
      </c>
      <c r="C187" s="294" t="s">
        <v>125</v>
      </c>
      <c r="D187" s="290" t="s">
        <v>124</v>
      </c>
      <c r="E187" s="294" t="s">
        <v>126</v>
      </c>
      <c r="F187" s="294" t="s">
        <v>127</v>
      </c>
      <c r="G187" s="290" t="s">
        <v>124</v>
      </c>
      <c r="H187" s="295" t="s">
        <v>128</v>
      </c>
      <c r="I187" s="294" t="s">
        <v>129</v>
      </c>
      <c r="J187" s="290" t="s">
        <v>130</v>
      </c>
      <c r="K187" s="296" t="s">
        <v>128</v>
      </c>
      <c r="L187" s="294" t="s">
        <v>131</v>
      </c>
    </row>
    <row r="188" ht="12.75" spans="1:12">
      <c r="A188" s="297"/>
      <c r="B188" s="285"/>
      <c r="C188" s="286">
        <f>20*B188</f>
        <v>0</v>
      </c>
      <c r="D188" s="285"/>
      <c r="E188" s="286"/>
      <c r="F188" s="286"/>
      <c r="G188" s="285"/>
      <c r="H188" s="298"/>
      <c r="I188" s="298"/>
      <c r="J188" s="285"/>
      <c r="K188" s="298"/>
      <c r="L188" s="298">
        <v>0</v>
      </c>
    </row>
    <row r="189" spans="1:12">
      <c r="A189" s="284"/>
      <c r="B189" s="285"/>
      <c r="C189" s="286"/>
      <c r="D189" s="285">
        <v>0</v>
      </c>
      <c r="E189" s="286">
        <v>0</v>
      </c>
      <c r="F189" s="286">
        <f t="shared" ref="F189:F200" si="74">D189*E189</f>
        <v>0</v>
      </c>
      <c r="G189" s="285">
        <v>0</v>
      </c>
      <c r="H189" s="298"/>
      <c r="I189" s="286">
        <f t="shared" ref="I189:I200" si="75">IF(F189=0,G189*H189,0)</f>
        <v>0</v>
      </c>
      <c r="J189" s="285">
        <f t="shared" ref="J189:J200" si="76">D189-G189+J188</f>
        <v>0</v>
      </c>
      <c r="K189" s="298">
        <f t="shared" ref="K189:K200" si="77">IF(J189=0,0,L189/J189)</f>
        <v>0</v>
      </c>
      <c r="L189" s="286">
        <f t="shared" ref="L189:L200" si="78">IF(F189=0,L188-I189,L188+F189)</f>
        <v>0</v>
      </c>
    </row>
    <row r="190" spans="1:12">
      <c r="A190" s="284"/>
      <c r="B190" s="285"/>
      <c r="C190" s="286"/>
      <c r="D190" s="285">
        <v>0</v>
      </c>
      <c r="E190" s="286"/>
      <c r="F190" s="286">
        <f t="shared" si="74"/>
        <v>0</v>
      </c>
      <c r="G190" s="285">
        <v>0</v>
      </c>
      <c r="H190" s="298">
        <f t="shared" ref="H190:H200" si="79">K189</f>
        <v>0</v>
      </c>
      <c r="I190" s="286">
        <f t="shared" si="75"/>
        <v>0</v>
      </c>
      <c r="J190" s="285">
        <f t="shared" si="76"/>
        <v>0</v>
      </c>
      <c r="K190" s="298">
        <f t="shared" si="77"/>
        <v>0</v>
      </c>
      <c r="L190" s="286">
        <f t="shared" si="78"/>
        <v>0</v>
      </c>
    </row>
    <row r="191" spans="1:12">
      <c r="A191" s="284"/>
      <c r="B191" s="285"/>
      <c r="C191" s="286"/>
      <c r="D191" s="285">
        <v>0</v>
      </c>
      <c r="E191" s="286"/>
      <c r="F191" s="286">
        <f t="shared" si="74"/>
        <v>0</v>
      </c>
      <c r="G191" s="285">
        <v>0</v>
      </c>
      <c r="H191" s="298">
        <f t="shared" si="79"/>
        <v>0</v>
      </c>
      <c r="I191" s="286">
        <f t="shared" si="75"/>
        <v>0</v>
      </c>
      <c r="J191" s="285">
        <f t="shared" si="76"/>
        <v>0</v>
      </c>
      <c r="K191" s="298">
        <f t="shared" si="77"/>
        <v>0</v>
      </c>
      <c r="L191" s="286">
        <f t="shared" si="78"/>
        <v>0</v>
      </c>
    </row>
    <row r="192" spans="1:12">
      <c r="A192" s="284"/>
      <c r="B192" s="285"/>
      <c r="C192" s="286"/>
      <c r="D192" s="285">
        <v>0</v>
      </c>
      <c r="E192" s="286"/>
      <c r="F192" s="286">
        <f t="shared" si="74"/>
        <v>0</v>
      </c>
      <c r="G192" s="285">
        <v>0</v>
      </c>
      <c r="H192" s="298">
        <f t="shared" si="79"/>
        <v>0</v>
      </c>
      <c r="I192" s="286">
        <f t="shared" si="75"/>
        <v>0</v>
      </c>
      <c r="J192" s="285">
        <f t="shared" si="76"/>
        <v>0</v>
      </c>
      <c r="K192" s="298">
        <f t="shared" si="77"/>
        <v>0</v>
      </c>
      <c r="L192" s="286">
        <f t="shared" si="78"/>
        <v>0</v>
      </c>
    </row>
    <row r="193" spans="1:12">
      <c r="A193" s="284"/>
      <c r="B193" s="285"/>
      <c r="C193" s="286"/>
      <c r="D193" s="285">
        <v>0</v>
      </c>
      <c r="E193" s="286"/>
      <c r="F193" s="286">
        <f t="shared" si="74"/>
        <v>0</v>
      </c>
      <c r="G193" s="285">
        <v>0</v>
      </c>
      <c r="H193" s="298">
        <f t="shared" si="79"/>
        <v>0</v>
      </c>
      <c r="I193" s="286">
        <f t="shared" si="75"/>
        <v>0</v>
      </c>
      <c r="J193" s="285">
        <f t="shared" si="76"/>
        <v>0</v>
      </c>
      <c r="K193" s="298">
        <f t="shared" si="77"/>
        <v>0</v>
      </c>
      <c r="L193" s="286">
        <f t="shared" si="78"/>
        <v>0</v>
      </c>
    </row>
    <row r="194" spans="1:12">
      <c r="A194" s="284"/>
      <c r="B194" s="285"/>
      <c r="C194" s="286"/>
      <c r="D194" s="285">
        <v>0</v>
      </c>
      <c r="E194" s="286"/>
      <c r="F194" s="286">
        <f t="shared" si="74"/>
        <v>0</v>
      </c>
      <c r="G194" s="285">
        <v>0</v>
      </c>
      <c r="H194" s="298">
        <f t="shared" si="79"/>
        <v>0</v>
      </c>
      <c r="I194" s="286">
        <f t="shared" si="75"/>
        <v>0</v>
      </c>
      <c r="J194" s="285">
        <f t="shared" si="76"/>
        <v>0</v>
      </c>
      <c r="K194" s="298">
        <f t="shared" si="77"/>
        <v>0</v>
      </c>
      <c r="L194" s="286">
        <f t="shared" si="78"/>
        <v>0</v>
      </c>
    </row>
    <row r="195" spans="1:12">
      <c r="A195" s="284"/>
      <c r="B195" s="285"/>
      <c r="C195" s="286"/>
      <c r="D195" s="285">
        <v>0</v>
      </c>
      <c r="E195" s="286"/>
      <c r="F195" s="286">
        <f t="shared" si="74"/>
        <v>0</v>
      </c>
      <c r="G195" s="285">
        <v>0</v>
      </c>
      <c r="H195" s="298">
        <f t="shared" si="79"/>
        <v>0</v>
      </c>
      <c r="I195" s="286">
        <f t="shared" si="75"/>
        <v>0</v>
      </c>
      <c r="J195" s="285">
        <f t="shared" si="76"/>
        <v>0</v>
      </c>
      <c r="K195" s="298">
        <f t="shared" si="77"/>
        <v>0</v>
      </c>
      <c r="L195" s="286">
        <f t="shared" si="78"/>
        <v>0</v>
      </c>
    </row>
    <row r="196" spans="1:12">
      <c r="A196" s="284"/>
      <c r="B196" s="285"/>
      <c r="C196" s="286"/>
      <c r="D196" s="285">
        <v>0</v>
      </c>
      <c r="E196" s="286"/>
      <c r="F196" s="286">
        <f t="shared" si="74"/>
        <v>0</v>
      </c>
      <c r="G196" s="285">
        <v>0</v>
      </c>
      <c r="H196" s="298">
        <f t="shared" si="79"/>
        <v>0</v>
      </c>
      <c r="I196" s="286">
        <f t="shared" si="75"/>
        <v>0</v>
      </c>
      <c r="J196" s="285">
        <f t="shared" si="76"/>
        <v>0</v>
      </c>
      <c r="K196" s="298">
        <f t="shared" si="77"/>
        <v>0</v>
      </c>
      <c r="L196" s="286">
        <f t="shared" si="78"/>
        <v>0</v>
      </c>
    </row>
    <row r="197" spans="1:12">
      <c r="A197" s="284"/>
      <c r="B197" s="285"/>
      <c r="C197" s="286"/>
      <c r="D197" s="285">
        <v>0</v>
      </c>
      <c r="E197" s="286"/>
      <c r="F197" s="286">
        <f t="shared" si="74"/>
        <v>0</v>
      </c>
      <c r="G197" s="285">
        <v>0</v>
      </c>
      <c r="H197" s="298">
        <f t="shared" si="79"/>
        <v>0</v>
      </c>
      <c r="I197" s="286">
        <f t="shared" si="75"/>
        <v>0</v>
      </c>
      <c r="J197" s="285">
        <f t="shared" si="76"/>
        <v>0</v>
      </c>
      <c r="K197" s="298">
        <f t="shared" si="77"/>
        <v>0</v>
      </c>
      <c r="L197" s="286">
        <f t="shared" si="78"/>
        <v>0</v>
      </c>
    </row>
    <row r="198" spans="1:12">
      <c r="A198" s="299"/>
      <c r="B198" s="285"/>
      <c r="C198" s="286"/>
      <c r="D198" s="285">
        <v>0</v>
      </c>
      <c r="E198" s="286"/>
      <c r="F198" s="286">
        <f t="shared" si="74"/>
        <v>0</v>
      </c>
      <c r="G198" s="285">
        <v>0</v>
      </c>
      <c r="H198" s="298">
        <f t="shared" si="79"/>
        <v>0</v>
      </c>
      <c r="I198" s="286">
        <f t="shared" si="75"/>
        <v>0</v>
      </c>
      <c r="J198" s="285">
        <f t="shared" si="76"/>
        <v>0</v>
      </c>
      <c r="K198" s="298">
        <f t="shared" si="77"/>
        <v>0</v>
      </c>
      <c r="L198" s="286">
        <f t="shared" si="78"/>
        <v>0</v>
      </c>
    </row>
    <row r="199" spans="1:12">
      <c r="A199" s="284"/>
      <c r="B199" s="285"/>
      <c r="C199" s="286"/>
      <c r="D199" s="285">
        <v>0</v>
      </c>
      <c r="E199" s="286"/>
      <c r="F199" s="286">
        <f t="shared" si="74"/>
        <v>0</v>
      </c>
      <c r="G199" s="285">
        <v>0</v>
      </c>
      <c r="H199" s="298">
        <f t="shared" si="79"/>
        <v>0</v>
      </c>
      <c r="I199" s="286">
        <f t="shared" si="75"/>
        <v>0</v>
      </c>
      <c r="J199" s="285">
        <f t="shared" si="76"/>
        <v>0</v>
      </c>
      <c r="K199" s="298">
        <f t="shared" si="77"/>
        <v>0</v>
      </c>
      <c r="L199" s="286">
        <f t="shared" si="78"/>
        <v>0</v>
      </c>
    </row>
    <row r="200" spans="1:12">
      <c r="A200" s="284"/>
      <c r="B200" s="285"/>
      <c r="C200" s="286"/>
      <c r="D200" s="285">
        <v>0</v>
      </c>
      <c r="E200" s="286"/>
      <c r="F200" s="286">
        <f t="shared" si="74"/>
        <v>0</v>
      </c>
      <c r="G200" s="285">
        <v>0</v>
      </c>
      <c r="H200" s="298">
        <f t="shared" si="79"/>
        <v>0</v>
      </c>
      <c r="I200" s="286">
        <f t="shared" si="75"/>
        <v>0</v>
      </c>
      <c r="J200" s="285">
        <f t="shared" si="76"/>
        <v>0</v>
      </c>
      <c r="K200" s="298">
        <f t="shared" si="77"/>
        <v>0</v>
      </c>
      <c r="L200" s="286">
        <f t="shared" si="78"/>
        <v>0</v>
      </c>
    </row>
    <row r="201" ht="13.5" spans="1:12">
      <c r="A201" s="284"/>
      <c r="B201" s="285"/>
      <c r="C201" s="286"/>
      <c r="D201" s="285"/>
      <c r="E201" s="286"/>
      <c r="F201" s="300" t="s">
        <v>133</v>
      </c>
      <c r="G201" s="301">
        <f>SUM(F189:F200)</f>
        <v>0</v>
      </c>
      <c r="H201" s="300" t="s">
        <v>134</v>
      </c>
      <c r="I201" s="302">
        <f>SUM(I189:I199)</f>
        <v>0</v>
      </c>
      <c r="J201" s="285"/>
      <c r="K201" s="300" t="s">
        <v>131</v>
      </c>
      <c r="L201" s="286">
        <f>L200</f>
        <v>0</v>
      </c>
    </row>
    <row r="203" ht="12.75" spans="1:12">
      <c r="H203" s="79"/>
      <c r="J203" s="305" t="s">
        <v>123</v>
      </c>
      <c r="K203" s="305" t="s">
        <v>147</v>
      </c>
      <c r="L203" s="306">
        <f>L20+L41+L61+L81+L101+L121+L141+L161+L181+L201</f>
        <v>411.2</v>
      </c>
    </row>
  </sheetData>
  <mergeCells count="70">
    <mergeCell ref="A1:K1"/>
    <mergeCell ref="I2:K2"/>
    <mergeCell ref="B3:C3"/>
    <mergeCell ref="D3:F3"/>
    <mergeCell ref="G3:I3"/>
    <mergeCell ref="J3:L3"/>
    <mergeCell ref="A22:K22"/>
    <mergeCell ref="I23:K23"/>
    <mergeCell ref="B24:C24"/>
    <mergeCell ref="D24:F24"/>
    <mergeCell ref="G24:I24"/>
    <mergeCell ref="J24:L24"/>
    <mergeCell ref="A44:K44"/>
    <mergeCell ref="I45:K45"/>
    <mergeCell ref="B46:C46"/>
    <mergeCell ref="D46:F46"/>
    <mergeCell ref="G46:I46"/>
    <mergeCell ref="J46:L46"/>
    <mergeCell ref="A64:K64"/>
    <mergeCell ref="I65:K65"/>
    <mergeCell ref="B66:C66"/>
    <mergeCell ref="D66:F66"/>
    <mergeCell ref="G66:I66"/>
    <mergeCell ref="J66:L66"/>
    <mergeCell ref="A84:K84"/>
    <mergeCell ref="I85:K85"/>
    <mergeCell ref="B86:C86"/>
    <mergeCell ref="D86:F86"/>
    <mergeCell ref="G86:I86"/>
    <mergeCell ref="J86:L86"/>
    <mergeCell ref="A104:K104"/>
    <mergeCell ref="I105:K105"/>
    <mergeCell ref="B106:C106"/>
    <mergeCell ref="D106:F106"/>
    <mergeCell ref="G106:I106"/>
    <mergeCell ref="J106:L106"/>
    <mergeCell ref="A124:K124"/>
    <mergeCell ref="I125:K125"/>
    <mergeCell ref="B126:C126"/>
    <mergeCell ref="D126:F126"/>
    <mergeCell ref="G126:I126"/>
    <mergeCell ref="J126:L126"/>
    <mergeCell ref="A144:K144"/>
    <mergeCell ref="I145:K145"/>
    <mergeCell ref="B146:C146"/>
    <mergeCell ref="D146:F146"/>
    <mergeCell ref="G146:I146"/>
    <mergeCell ref="J146:L146"/>
    <mergeCell ref="A164:K164"/>
    <mergeCell ref="I165:K165"/>
    <mergeCell ref="B166:C166"/>
    <mergeCell ref="D166:F166"/>
    <mergeCell ref="G166:I166"/>
    <mergeCell ref="J166:L166"/>
    <mergeCell ref="A184:K184"/>
    <mergeCell ref="I185:K185"/>
    <mergeCell ref="B186:C186"/>
    <mergeCell ref="D186:F186"/>
    <mergeCell ref="G186:I186"/>
    <mergeCell ref="J186:L186"/>
    <mergeCell ref="A3:A4"/>
    <mergeCell ref="A24:A25"/>
    <mergeCell ref="A46:A47"/>
    <mergeCell ref="A66:A67"/>
    <mergeCell ref="A86:A87"/>
    <mergeCell ref="A106:A107"/>
    <mergeCell ref="A126:A127"/>
    <mergeCell ref="A146:A147"/>
    <mergeCell ref="A166:A167"/>
    <mergeCell ref="A186:A18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6"/>
  <sheetViews>
    <sheetView zoomScale="70" zoomScaleNormal="70" topLeftCell="A160" workbookViewId="0">
      <selection activeCell="H185" sqref="H185"/>
    </sheetView>
  </sheetViews>
  <sheetFormatPr defaultColWidth="9.14285714285714" defaultRowHeight="12.35"/>
  <cols>
    <col min="1" max="1" width="24.5714285714286" customWidth="1"/>
    <col min="2" max="2" width="9.85714285714286"/>
    <col min="3" max="3" width="11" customWidth="1"/>
    <col min="4" max="4" width="13.2857142857143" customWidth="1"/>
    <col min="5" max="5" width="14.8571428571429" customWidth="1"/>
    <col min="6" max="6" width="17.4285714285714" customWidth="1"/>
    <col min="7" max="7" width="13.8571428571429"/>
    <col min="8" max="8" width="14.1428571428571" customWidth="1"/>
    <col min="9" max="9" width="18.5714285714286"/>
    <col min="11" max="11" width="14.4285714285714" customWidth="1"/>
    <col min="12" max="12" width="13.8571428571429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135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 t="s">
        <v>132</v>
      </c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/>
      <c r="E6" s="286">
        <f>IF(D6=0,0,F6/D6)</f>
        <v>0</v>
      </c>
      <c r="F6" s="286"/>
      <c r="G6" s="285">
        <v>0</v>
      </c>
      <c r="H6" s="298"/>
      <c r="I6" s="286">
        <f t="shared" ref="I6:I19" si="0">IF(F6=0,G6*H6,0)</f>
        <v>0</v>
      </c>
      <c r="J6" s="285">
        <f t="shared" ref="J6:J19" si="1">D6-G6+J5</f>
        <v>0</v>
      </c>
      <c r="K6" s="298">
        <f t="shared" ref="K6:K19" si="2">IF(J6=0,0,L6/J6)</f>
        <v>0</v>
      </c>
      <c r="L6" s="286">
        <f t="shared" ref="L6:L19" si="3">IF(F6=0,L5-I6,L5+F6)</f>
        <v>0</v>
      </c>
    </row>
    <row r="7" spans="1:12">
      <c r="A7" s="284"/>
      <c r="B7" s="285"/>
      <c r="C7" s="286"/>
      <c r="D7" s="285">
        <v>20</v>
      </c>
      <c r="E7" s="286">
        <f t="shared" ref="E7:E19" si="4">IF(D7=0,0,F7/D7)</f>
        <v>1.028</v>
      </c>
      <c r="F7" s="286">
        <v>20.56</v>
      </c>
      <c r="G7" s="285">
        <v>0</v>
      </c>
      <c r="H7" s="298">
        <f t="shared" ref="H7:H19" si="5">K6</f>
        <v>0</v>
      </c>
      <c r="I7" s="286">
        <f t="shared" si="0"/>
        <v>0</v>
      </c>
      <c r="J7" s="285">
        <f t="shared" si="1"/>
        <v>20</v>
      </c>
      <c r="K7" s="298">
        <f t="shared" si="2"/>
        <v>1.028</v>
      </c>
      <c r="L7" s="286">
        <f t="shared" si="3"/>
        <v>20.56</v>
      </c>
    </row>
    <row r="8" spans="1:12">
      <c r="A8" s="284"/>
      <c r="B8" s="285"/>
      <c r="C8" s="286"/>
      <c r="D8" s="285">
        <v>20</v>
      </c>
      <c r="E8" s="286">
        <f t="shared" ref="E8" si="6">IF(D8=0,0,F8/D8)</f>
        <v>1.028</v>
      </c>
      <c r="F8" s="286">
        <v>20.56</v>
      </c>
      <c r="G8" s="285">
        <v>0</v>
      </c>
      <c r="H8" s="298">
        <f t="shared" ref="H8" si="7">K7</f>
        <v>1.028</v>
      </c>
      <c r="I8" s="286">
        <f t="shared" ref="I8" si="8">IF(F8=0,G8*H8,0)</f>
        <v>0</v>
      </c>
      <c r="J8" s="285">
        <f t="shared" ref="J8" si="9">D8-G8+J7</f>
        <v>40</v>
      </c>
      <c r="K8" s="298">
        <f t="shared" ref="K8" si="10">IF(J8=0,0,L8/J8)</f>
        <v>1.028</v>
      </c>
      <c r="L8" s="286">
        <f t="shared" ref="L8" si="11">IF(F8=0,L7-I8,L7+F8)</f>
        <v>41.12</v>
      </c>
    </row>
    <row r="9" spans="1:12">
      <c r="A9" s="284"/>
      <c r="B9" s="285"/>
      <c r="C9" s="286"/>
      <c r="D9" s="285">
        <v>0</v>
      </c>
      <c r="E9" s="286">
        <f t="shared" ref="E9" si="12">IF(D9=0,0,F9/D9)</f>
        <v>0</v>
      </c>
      <c r="F9" s="286">
        <v>0</v>
      </c>
      <c r="G9" s="285">
        <v>0</v>
      </c>
      <c r="H9" s="298">
        <f t="shared" ref="H9" si="13">K8</f>
        <v>1.028</v>
      </c>
      <c r="I9" s="286">
        <f t="shared" ref="I9" si="14">IF(F9=0,G9*H9,0)</f>
        <v>0</v>
      </c>
      <c r="J9" s="285">
        <f t="shared" ref="J9" si="15">D9-G9+J8</f>
        <v>40</v>
      </c>
      <c r="K9" s="298">
        <f t="shared" ref="K9" si="16">IF(J9=0,0,L9/J9)</f>
        <v>1.028</v>
      </c>
      <c r="L9" s="286">
        <f t="shared" ref="L9" si="17">IF(F9=0,L8-I9,L8+F9)</f>
        <v>41.12</v>
      </c>
    </row>
    <row r="10" spans="1:12">
      <c r="A10" s="284"/>
      <c r="B10" s="285"/>
      <c r="C10" s="286"/>
      <c r="D10" s="285">
        <v>0</v>
      </c>
      <c r="E10" s="286">
        <f t="shared" si="4"/>
        <v>0</v>
      </c>
      <c r="F10" s="286">
        <v>0</v>
      </c>
      <c r="G10" s="285">
        <v>0</v>
      </c>
      <c r="H10" s="298">
        <f>K7</f>
        <v>1.028</v>
      </c>
      <c r="I10" s="286">
        <f t="shared" si="0"/>
        <v>0</v>
      </c>
      <c r="J10" s="285">
        <f>D10-G10+J7</f>
        <v>20</v>
      </c>
      <c r="K10" s="298">
        <f t="shared" si="2"/>
        <v>1.028</v>
      </c>
      <c r="L10" s="286">
        <f>IF(F10=0,L7-I10,L7+F10)</f>
        <v>20.56</v>
      </c>
    </row>
    <row r="11" spans="1:12">
      <c r="A11" s="284"/>
      <c r="B11" s="285"/>
      <c r="C11" s="286"/>
      <c r="D11" s="285">
        <v>0</v>
      </c>
      <c r="E11" s="286">
        <f t="shared" si="4"/>
        <v>0</v>
      </c>
      <c r="F11" s="286">
        <v>0</v>
      </c>
      <c r="G11" s="285">
        <v>0</v>
      </c>
      <c r="H11" s="298">
        <f t="shared" si="5"/>
        <v>1.028</v>
      </c>
      <c r="I11" s="286">
        <f t="shared" si="0"/>
        <v>0</v>
      </c>
      <c r="J11" s="285">
        <f t="shared" si="1"/>
        <v>20</v>
      </c>
      <c r="K11" s="298">
        <f t="shared" si="2"/>
        <v>1.028</v>
      </c>
      <c r="L11" s="286">
        <f t="shared" si="3"/>
        <v>20.56</v>
      </c>
    </row>
    <row r="12" spans="1:12">
      <c r="A12" s="284"/>
      <c r="B12" s="285"/>
      <c r="C12" s="286"/>
      <c r="D12" s="285">
        <v>0</v>
      </c>
      <c r="E12" s="286">
        <f t="shared" si="4"/>
        <v>0</v>
      </c>
      <c r="F12" s="286">
        <v>0</v>
      </c>
      <c r="G12" s="285">
        <v>0</v>
      </c>
      <c r="H12" s="298">
        <f t="shared" si="5"/>
        <v>1.028</v>
      </c>
      <c r="I12" s="286">
        <f t="shared" si="0"/>
        <v>0</v>
      </c>
      <c r="J12" s="285">
        <f t="shared" si="1"/>
        <v>20</v>
      </c>
      <c r="K12" s="298">
        <f t="shared" si="2"/>
        <v>1.028</v>
      </c>
      <c r="L12" s="286">
        <f t="shared" si="3"/>
        <v>20.56</v>
      </c>
    </row>
    <row r="13" spans="1:12">
      <c r="A13" s="284"/>
      <c r="B13" s="285"/>
      <c r="C13" s="286"/>
      <c r="D13" s="285">
        <v>0</v>
      </c>
      <c r="E13" s="286">
        <f t="shared" si="4"/>
        <v>0</v>
      </c>
      <c r="F13" s="286">
        <v>0</v>
      </c>
      <c r="G13" s="285">
        <v>0</v>
      </c>
      <c r="H13" s="298">
        <f t="shared" si="5"/>
        <v>1.028</v>
      </c>
      <c r="I13" s="286">
        <f t="shared" si="0"/>
        <v>0</v>
      </c>
      <c r="J13" s="285">
        <f t="shared" si="1"/>
        <v>20</v>
      </c>
      <c r="K13" s="298">
        <f t="shared" si="2"/>
        <v>1.028</v>
      </c>
      <c r="L13" s="286">
        <f t="shared" si="3"/>
        <v>20.56</v>
      </c>
    </row>
    <row r="14" spans="1:12">
      <c r="A14" s="284"/>
      <c r="B14" s="285"/>
      <c r="C14" s="286"/>
      <c r="D14" s="285">
        <v>0</v>
      </c>
      <c r="E14" s="286">
        <f t="shared" si="4"/>
        <v>0</v>
      </c>
      <c r="F14" s="286">
        <v>0</v>
      </c>
      <c r="G14" s="285">
        <v>0</v>
      </c>
      <c r="H14" s="298">
        <f t="shared" si="5"/>
        <v>1.028</v>
      </c>
      <c r="I14" s="286">
        <f t="shared" si="0"/>
        <v>0</v>
      </c>
      <c r="J14" s="285">
        <f t="shared" si="1"/>
        <v>20</v>
      </c>
      <c r="K14" s="298">
        <f t="shared" si="2"/>
        <v>1.028</v>
      </c>
      <c r="L14" s="286">
        <f t="shared" si="3"/>
        <v>20.56</v>
      </c>
    </row>
    <row r="15" spans="1:12">
      <c r="A15" s="284"/>
      <c r="B15" s="285"/>
      <c r="C15" s="286"/>
      <c r="D15" s="285">
        <v>0</v>
      </c>
      <c r="E15" s="286">
        <f t="shared" si="4"/>
        <v>0</v>
      </c>
      <c r="F15" s="286">
        <v>0</v>
      </c>
      <c r="G15" s="285">
        <v>0</v>
      </c>
      <c r="H15" s="298">
        <f t="shared" si="5"/>
        <v>1.028</v>
      </c>
      <c r="I15" s="286">
        <f t="shared" si="0"/>
        <v>0</v>
      </c>
      <c r="J15" s="285">
        <f t="shared" si="1"/>
        <v>20</v>
      </c>
      <c r="K15" s="298">
        <f t="shared" si="2"/>
        <v>1.028</v>
      </c>
      <c r="L15" s="286">
        <f t="shared" si="3"/>
        <v>20.56</v>
      </c>
    </row>
    <row r="16" spans="1:12">
      <c r="A16" s="284"/>
      <c r="B16" s="285"/>
      <c r="C16" s="286"/>
      <c r="D16" s="285">
        <v>0</v>
      </c>
      <c r="E16" s="286">
        <f t="shared" si="4"/>
        <v>0</v>
      </c>
      <c r="F16" s="286">
        <v>0</v>
      </c>
      <c r="G16" s="285">
        <v>0</v>
      </c>
      <c r="H16" s="298">
        <f t="shared" si="5"/>
        <v>1.028</v>
      </c>
      <c r="I16" s="286">
        <f t="shared" si="0"/>
        <v>0</v>
      </c>
      <c r="J16" s="285">
        <f t="shared" si="1"/>
        <v>20</v>
      </c>
      <c r="K16" s="298">
        <f t="shared" si="2"/>
        <v>1.028</v>
      </c>
      <c r="L16" s="286">
        <f t="shared" si="3"/>
        <v>20.56</v>
      </c>
    </row>
    <row r="17" spans="1:12">
      <c r="A17" s="299"/>
      <c r="B17" s="285"/>
      <c r="C17" s="286"/>
      <c r="D17" s="285">
        <v>0</v>
      </c>
      <c r="E17" s="286">
        <f t="shared" si="4"/>
        <v>0</v>
      </c>
      <c r="F17" s="286">
        <v>0</v>
      </c>
      <c r="G17" s="285">
        <v>0</v>
      </c>
      <c r="H17" s="298">
        <f t="shared" si="5"/>
        <v>1.028</v>
      </c>
      <c r="I17" s="286">
        <f t="shared" si="0"/>
        <v>0</v>
      </c>
      <c r="J17" s="285">
        <f t="shared" si="1"/>
        <v>20</v>
      </c>
      <c r="K17" s="298">
        <f t="shared" si="2"/>
        <v>1.028</v>
      </c>
      <c r="L17" s="286">
        <f t="shared" si="3"/>
        <v>20.56</v>
      </c>
    </row>
    <row r="18" spans="1:12">
      <c r="A18" s="284"/>
      <c r="B18" s="285"/>
      <c r="C18" s="286"/>
      <c r="D18" s="285">
        <v>0</v>
      </c>
      <c r="E18" s="286">
        <f t="shared" si="4"/>
        <v>0</v>
      </c>
      <c r="F18" s="286">
        <v>0</v>
      </c>
      <c r="G18" s="285">
        <v>0</v>
      </c>
      <c r="H18" s="298">
        <f t="shared" si="5"/>
        <v>1.028</v>
      </c>
      <c r="I18" s="286">
        <f t="shared" si="0"/>
        <v>0</v>
      </c>
      <c r="J18" s="285">
        <f t="shared" si="1"/>
        <v>20</v>
      </c>
      <c r="K18" s="298">
        <f t="shared" si="2"/>
        <v>1.028</v>
      </c>
      <c r="L18" s="286">
        <f t="shared" si="3"/>
        <v>20.56</v>
      </c>
    </row>
    <row r="19" spans="1:12">
      <c r="A19" s="284"/>
      <c r="B19" s="285"/>
      <c r="C19" s="286"/>
      <c r="D19" s="285">
        <v>0</v>
      </c>
      <c r="E19" s="286">
        <f t="shared" si="4"/>
        <v>0</v>
      </c>
      <c r="F19" s="286">
        <v>0</v>
      </c>
      <c r="G19" s="285">
        <v>0</v>
      </c>
      <c r="H19" s="298">
        <f t="shared" si="5"/>
        <v>1.028</v>
      </c>
      <c r="I19" s="286">
        <f t="shared" si="0"/>
        <v>0</v>
      </c>
      <c r="J19" s="285">
        <f t="shared" si="1"/>
        <v>20</v>
      </c>
      <c r="K19" s="298">
        <f t="shared" si="2"/>
        <v>1.028</v>
      </c>
      <c r="L19" s="286">
        <f t="shared" si="3"/>
        <v>20.56</v>
      </c>
    </row>
    <row r="20" ht="13.5" spans="1:12">
      <c r="A20" s="284"/>
      <c r="B20" s="285"/>
      <c r="C20" s="286"/>
      <c r="D20" s="285"/>
      <c r="E20" s="286"/>
      <c r="F20" s="300" t="s">
        <v>133</v>
      </c>
      <c r="G20" s="301">
        <f>SUM(F6:F19)</f>
        <v>41.12</v>
      </c>
      <c r="H20" s="300" t="s">
        <v>134</v>
      </c>
      <c r="I20" s="302">
        <f>SUM(I6:I19)</f>
        <v>0</v>
      </c>
      <c r="J20" s="285"/>
      <c r="K20" s="300" t="s">
        <v>131</v>
      </c>
      <c r="L20" s="286">
        <f>L19</f>
        <v>20.56</v>
      </c>
    </row>
    <row r="21" spans="1:12">
      <c r="A21" s="303"/>
      <c r="B21" s="285"/>
      <c r="C21" s="286"/>
      <c r="D21" s="285"/>
      <c r="E21" s="286"/>
      <c r="F21" s="286"/>
      <c r="G21" s="285"/>
      <c r="H21" s="286"/>
      <c r="I21" s="286"/>
      <c r="J21" s="301"/>
      <c r="K21" s="286"/>
    </row>
    <row r="22" ht="15.75" spans="1:12">
      <c r="A22" s="283" t="s">
        <v>116</v>
      </c>
      <c r="B22" s="283"/>
      <c r="C22" s="283"/>
      <c r="D22" s="283"/>
      <c r="E22" s="283"/>
      <c r="F22" s="283"/>
      <c r="G22" s="283"/>
      <c r="H22" s="283"/>
      <c r="I22" s="283"/>
      <c r="J22" s="283"/>
      <c r="K22" s="283"/>
    </row>
    <row r="23" ht="12.75" spans="1:12">
      <c r="A23" s="284" t="s">
        <v>117</v>
      </c>
      <c r="B23" s="285"/>
      <c r="C23" s="286"/>
      <c r="D23" s="285"/>
      <c r="E23" s="286"/>
      <c r="F23" s="286"/>
      <c r="G23" s="285"/>
      <c r="H23" s="286"/>
      <c r="I23" s="287" t="s">
        <v>135</v>
      </c>
      <c r="J23" s="288"/>
      <c r="K23" s="288"/>
    </row>
    <row r="24" ht="13.5" spans="1:12">
      <c r="A24" s="289" t="s">
        <v>119</v>
      </c>
      <c r="B24" s="290" t="s">
        <v>120</v>
      </c>
      <c r="C24" s="290"/>
      <c r="D24" s="291" t="s">
        <v>121</v>
      </c>
      <c r="E24" s="291"/>
      <c r="F24" s="291"/>
      <c r="G24" s="292" t="s">
        <v>122</v>
      </c>
      <c r="H24" s="292"/>
      <c r="I24" s="292"/>
      <c r="J24" s="293" t="s">
        <v>123</v>
      </c>
      <c r="K24" s="293"/>
      <c r="L24" s="293"/>
    </row>
    <row r="25" ht="13.5" spans="1:12">
      <c r="A25" s="289"/>
      <c r="B25" s="290" t="s">
        <v>124</v>
      </c>
      <c r="C25" s="294" t="s">
        <v>125</v>
      </c>
      <c r="D25" s="290" t="s">
        <v>124</v>
      </c>
      <c r="E25" s="294" t="s">
        <v>126</v>
      </c>
      <c r="F25" s="294" t="s">
        <v>127</v>
      </c>
      <c r="G25" s="290" t="s">
        <v>124</v>
      </c>
      <c r="H25" s="295" t="s">
        <v>128</v>
      </c>
      <c r="I25" s="294" t="s">
        <v>129</v>
      </c>
      <c r="J25" s="290" t="s">
        <v>130</v>
      </c>
      <c r="K25" s="296" t="s">
        <v>128</v>
      </c>
      <c r="L25" s="294" t="s">
        <v>131</v>
      </c>
    </row>
    <row r="26" ht="12.75" spans="1:12">
      <c r="A26" s="297" t="s">
        <v>136</v>
      </c>
      <c r="B26" s="285"/>
      <c r="C26" s="286">
        <f>20*B26</f>
        <v>0</v>
      </c>
      <c r="D26" s="285"/>
      <c r="E26" s="286"/>
      <c r="F26" s="286"/>
      <c r="G26" s="285"/>
      <c r="H26" s="298"/>
      <c r="I26" s="298"/>
      <c r="J26" s="285"/>
      <c r="K26" s="298"/>
      <c r="L26" s="298">
        <v>0</v>
      </c>
    </row>
    <row r="27" spans="1:12">
      <c r="A27" s="284"/>
      <c r="B27" s="285"/>
      <c r="C27" s="286"/>
      <c r="D27" s="285">
        <v>0</v>
      </c>
      <c r="E27" s="286">
        <f t="shared" ref="E27:E40" si="18">IF(D27=0,0,F27/D27)</f>
        <v>0</v>
      </c>
      <c r="F27" s="286">
        <v>0</v>
      </c>
      <c r="G27" s="285">
        <v>0</v>
      </c>
      <c r="H27" s="298"/>
      <c r="I27" s="286">
        <f t="shared" ref="I27:I40" si="19">IF(F27=0,G27*H27,0)</f>
        <v>0</v>
      </c>
      <c r="J27" s="285">
        <f t="shared" ref="J27:J40" si="20">D27-G27+J26</f>
        <v>0</v>
      </c>
      <c r="K27" s="298">
        <f t="shared" ref="K27:K40" si="21">IF(J27=0,0,L27/J27)</f>
        <v>0</v>
      </c>
      <c r="L27" s="286">
        <f t="shared" ref="L27:L40" si="22">IF(F27=0,L26-I27,L26+F27)</f>
        <v>0</v>
      </c>
    </row>
    <row r="28" spans="1:12">
      <c r="A28" s="284"/>
      <c r="B28" s="285"/>
      <c r="C28" s="286"/>
      <c r="D28" s="285">
        <v>0</v>
      </c>
      <c r="E28" s="286">
        <f t="shared" si="18"/>
        <v>0</v>
      </c>
      <c r="F28" s="286">
        <v>0</v>
      </c>
      <c r="G28" s="285">
        <v>10</v>
      </c>
      <c r="H28" s="298">
        <f t="shared" ref="H28:H40" si="23">K27</f>
        <v>0</v>
      </c>
      <c r="I28" s="286">
        <f t="shared" si="19"/>
        <v>0</v>
      </c>
      <c r="J28" s="285">
        <f t="shared" si="20"/>
        <v>-10</v>
      </c>
      <c r="K28" s="298">
        <f t="shared" si="21"/>
        <v>0</v>
      </c>
      <c r="L28" s="286">
        <f t="shared" si="22"/>
        <v>0</v>
      </c>
    </row>
    <row r="29" spans="1:12">
      <c r="A29" s="284"/>
      <c r="B29" s="285"/>
      <c r="C29" s="286"/>
      <c r="D29" s="285">
        <v>0</v>
      </c>
      <c r="E29" s="286">
        <f t="shared" ref="E29" si="24">IF(D29=0,0,F29/D29)</f>
        <v>0</v>
      </c>
      <c r="F29" s="286">
        <v>0</v>
      </c>
      <c r="G29" s="285">
        <v>10</v>
      </c>
      <c r="H29" s="298">
        <f t="shared" ref="H29" si="25">K28</f>
        <v>0</v>
      </c>
      <c r="I29" s="286">
        <f t="shared" ref="I29" si="26">IF(F29=0,G29*H29,0)</f>
        <v>0</v>
      </c>
      <c r="J29" s="285">
        <f t="shared" ref="J29" si="27">D29-G29+J28</f>
        <v>-20</v>
      </c>
      <c r="K29" s="298">
        <f t="shared" ref="K29" si="28">IF(J29=0,0,L29/J29)</f>
        <v>0</v>
      </c>
      <c r="L29" s="286">
        <f t="shared" ref="L29" si="29">IF(F29=0,L28-I29,L28+F29)</f>
        <v>0</v>
      </c>
    </row>
    <row r="30" spans="1:12">
      <c r="A30" s="284"/>
      <c r="B30" s="285"/>
      <c r="C30" s="286"/>
      <c r="D30" s="285">
        <v>0</v>
      </c>
      <c r="E30" s="286">
        <f t="shared" ref="E30" si="30">IF(D30=0,0,F30/D30)</f>
        <v>0</v>
      </c>
      <c r="F30" s="286">
        <v>0</v>
      </c>
      <c r="G30" s="285">
        <v>0</v>
      </c>
      <c r="H30" s="298">
        <f t="shared" ref="H30" si="31">K29</f>
        <v>0</v>
      </c>
      <c r="I30" s="286">
        <f t="shared" ref="I30" si="32">IF(F30=0,G30*H30,0)</f>
        <v>0</v>
      </c>
      <c r="J30" s="285">
        <f t="shared" ref="J30" si="33">D30-G30+J29</f>
        <v>-20</v>
      </c>
      <c r="K30" s="298">
        <f t="shared" ref="K30" si="34">IF(J30=0,0,L30/J30)</f>
        <v>0</v>
      </c>
      <c r="L30" s="286">
        <f t="shared" ref="L30" si="35">IF(F30=0,L29-I30,L29+F30)</f>
        <v>0</v>
      </c>
    </row>
    <row r="31" spans="1:12">
      <c r="A31" s="284"/>
      <c r="B31" s="285"/>
      <c r="C31" s="286"/>
      <c r="D31" s="285">
        <v>0</v>
      </c>
      <c r="E31" s="286">
        <f t="shared" si="18"/>
        <v>0</v>
      </c>
      <c r="F31" s="286">
        <v>0</v>
      </c>
      <c r="G31" s="285">
        <v>0</v>
      </c>
      <c r="H31" s="298">
        <f>K28</f>
        <v>0</v>
      </c>
      <c r="I31" s="286">
        <f t="shared" si="19"/>
        <v>0</v>
      </c>
      <c r="J31" s="285">
        <f>D31-G31+J28</f>
        <v>-10</v>
      </c>
      <c r="K31" s="298">
        <f t="shared" si="21"/>
        <v>0</v>
      </c>
      <c r="L31" s="286">
        <f>IF(F31=0,L28-I31,L28+F31)</f>
        <v>0</v>
      </c>
    </row>
    <row r="32" spans="1:12">
      <c r="A32" s="284"/>
      <c r="B32" s="285"/>
      <c r="C32" s="286"/>
      <c r="D32" s="285">
        <v>0</v>
      </c>
      <c r="E32" s="286">
        <f t="shared" si="18"/>
        <v>0</v>
      </c>
      <c r="F32" s="286">
        <v>0</v>
      </c>
      <c r="G32" s="285">
        <v>0</v>
      </c>
      <c r="H32" s="298">
        <f t="shared" si="23"/>
        <v>0</v>
      </c>
      <c r="I32" s="286">
        <f t="shared" si="19"/>
        <v>0</v>
      </c>
      <c r="J32" s="285">
        <f t="shared" si="20"/>
        <v>-10</v>
      </c>
      <c r="K32" s="298">
        <f t="shared" si="21"/>
        <v>0</v>
      </c>
      <c r="L32" s="286">
        <f t="shared" si="22"/>
        <v>0</v>
      </c>
    </row>
    <row r="33" spans="1:12">
      <c r="A33" s="284"/>
      <c r="B33" s="285"/>
      <c r="C33" s="286"/>
      <c r="D33" s="285">
        <v>0</v>
      </c>
      <c r="E33" s="286">
        <f t="shared" si="18"/>
        <v>0</v>
      </c>
      <c r="F33" s="286">
        <v>0</v>
      </c>
      <c r="G33" s="285">
        <v>0</v>
      </c>
      <c r="H33" s="298">
        <f t="shared" si="23"/>
        <v>0</v>
      </c>
      <c r="I33" s="286">
        <f t="shared" si="19"/>
        <v>0</v>
      </c>
      <c r="J33" s="285">
        <f t="shared" si="20"/>
        <v>-10</v>
      </c>
      <c r="K33" s="298">
        <f t="shared" si="21"/>
        <v>0</v>
      </c>
      <c r="L33" s="286">
        <f t="shared" si="22"/>
        <v>0</v>
      </c>
    </row>
    <row r="34" spans="1:12">
      <c r="A34" s="284"/>
      <c r="B34" s="285"/>
      <c r="C34" s="286"/>
      <c r="D34" s="285">
        <v>0</v>
      </c>
      <c r="E34" s="286">
        <f t="shared" si="18"/>
        <v>0</v>
      </c>
      <c r="F34" s="286">
        <v>0</v>
      </c>
      <c r="G34" s="285">
        <v>0</v>
      </c>
      <c r="H34" s="298">
        <f t="shared" si="23"/>
        <v>0</v>
      </c>
      <c r="I34" s="286">
        <f t="shared" si="19"/>
        <v>0</v>
      </c>
      <c r="J34" s="285">
        <f t="shared" si="20"/>
        <v>-10</v>
      </c>
      <c r="K34" s="298">
        <f t="shared" si="21"/>
        <v>0</v>
      </c>
      <c r="L34" s="286">
        <f t="shared" si="22"/>
        <v>0</v>
      </c>
    </row>
    <row r="35" spans="1:12">
      <c r="A35" s="284"/>
      <c r="B35" s="285"/>
      <c r="C35" s="286"/>
      <c r="D35" s="285">
        <v>0</v>
      </c>
      <c r="E35" s="286">
        <f t="shared" si="18"/>
        <v>0</v>
      </c>
      <c r="F35" s="286">
        <v>0</v>
      </c>
      <c r="G35" s="285">
        <v>0</v>
      </c>
      <c r="H35" s="298">
        <f t="shared" si="23"/>
        <v>0</v>
      </c>
      <c r="I35" s="286">
        <f t="shared" si="19"/>
        <v>0</v>
      </c>
      <c r="J35" s="285">
        <f t="shared" si="20"/>
        <v>-10</v>
      </c>
      <c r="K35" s="298">
        <f t="shared" si="21"/>
        <v>0</v>
      </c>
      <c r="L35" s="286">
        <f t="shared" si="22"/>
        <v>0</v>
      </c>
    </row>
    <row r="36" spans="1:12">
      <c r="A36" s="284"/>
      <c r="B36" s="285"/>
      <c r="C36" s="286"/>
      <c r="D36" s="285">
        <v>0</v>
      </c>
      <c r="E36" s="286">
        <f t="shared" si="18"/>
        <v>0</v>
      </c>
      <c r="F36" s="286">
        <v>0</v>
      </c>
      <c r="G36" s="285">
        <v>0</v>
      </c>
      <c r="H36" s="298">
        <f t="shared" si="23"/>
        <v>0</v>
      </c>
      <c r="I36" s="286">
        <f t="shared" si="19"/>
        <v>0</v>
      </c>
      <c r="J36" s="285">
        <f t="shared" si="20"/>
        <v>-10</v>
      </c>
      <c r="K36" s="298">
        <f t="shared" si="21"/>
        <v>0</v>
      </c>
      <c r="L36" s="286">
        <f t="shared" si="22"/>
        <v>0</v>
      </c>
    </row>
    <row r="37" spans="1:12">
      <c r="A37" s="284"/>
      <c r="B37" s="285"/>
      <c r="C37" s="286"/>
      <c r="D37" s="285">
        <v>0</v>
      </c>
      <c r="E37" s="286">
        <f t="shared" si="18"/>
        <v>0</v>
      </c>
      <c r="F37" s="286">
        <v>0</v>
      </c>
      <c r="G37" s="285">
        <v>0</v>
      </c>
      <c r="H37" s="298">
        <f t="shared" si="23"/>
        <v>0</v>
      </c>
      <c r="I37" s="286">
        <f t="shared" si="19"/>
        <v>0</v>
      </c>
      <c r="J37" s="285">
        <f t="shared" si="20"/>
        <v>-10</v>
      </c>
      <c r="K37" s="298">
        <f t="shared" si="21"/>
        <v>0</v>
      </c>
      <c r="L37" s="286">
        <f t="shared" si="22"/>
        <v>0</v>
      </c>
    </row>
    <row r="38" spans="1:12">
      <c r="A38" s="299"/>
      <c r="B38" s="285"/>
      <c r="C38" s="286"/>
      <c r="D38" s="285">
        <v>0</v>
      </c>
      <c r="E38" s="286">
        <f t="shared" si="18"/>
        <v>0</v>
      </c>
      <c r="F38" s="286">
        <v>0</v>
      </c>
      <c r="G38" s="285">
        <v>0</v>
      </c>
      <c r="H38" s="298">
        <f t="shared" si="23"/>
        <v>0</v>
      </c>
      <c r="I38" s="286">
        <f t="shared" si="19"/>
        <v>0</v>
      </c>
      <c r="J38" s="285">
        <f t="shared" si="20"/>
        <v>-10</v>
      </c>
      <c r="K38" s="298">
        <f t="shared" si="21"/>
        <v>0</v>
      </c>
      <c r="L38" s="286">
        <f t="shared" si="22"/>
        <v>0</v>
      </c>
    </row>
    <row r="39" spans="1:12">
      <c r="A39" s="284"/>
      <c r="B39" s="285"/>
      <c r="C39" s="286"/>
      <c r="D39" s="285">
        <v>0</v>
      </c>
      <c r="E39" s="286">
        <f t="shared" si="18"/>
        <v>0</v>
      </c>
      <c r="F39" s="286">
        <v>0</v>
      </c>
      <c r="G39" s="285">
        <v>0</v>
      </c>
      <c r="H39" s="298">
        <f t="shared" si="23"/>
        <v>0</v>
      </c>
      <c r="I39" s="286">
        <f t="shared" si="19"/>
        <v>0</v>
      </c>
      <c r="J39" s="285">
        <f t="shared" si="20"/>
        <v>-10</v>
      </c>
      <c r="K39" s="298">
        <f t="shared" si="21"/>
        <v>0</v>
      </c>
      <c r="L39" s="286">
        <f t="shared" si="22"/>
        <v>0</v>
      </c>
    </row>
    <row r="40" spans="1:12">
      <c r="A40" s="284"/>
      <c r="B40" s="285"/>
      <c r="C40" s="286"/>
      <c r="D40" s="285">
        <v>0</v>
      </c>
      <c r="E40" s="286">
        <f t="shared" si="18"/>
        <v>0</v>
      </c>
      <c r="F40" s="286">
        <v>0</v>
      </c>
      <c r="G40" s="285">
        <v>0</v>
      </c>
      <c r="H40" s="298">
        <f t="shared" si="23"/>
        <v>0</v>
      </c>
      <c r="I40" s="286">
        <f t="shared" si="19"/>
        <v>0</v>
      </c>
      <c r="J40" s="285">
        <f t="shared" si="20"/>
        <v>-10</v>
      </c>
      <c r="K40" s="298">
        <f t="shared" si="21"/>
        <v>0</v>
      </c>
      <c r="L40" s="286">
        <f t="shared" si="22"/>
        <v>0</v>
      </c>
    </row>
    <row r="41" ht="13.5" spans="1:12">
      <c r="A41" s="284"/>
      <c r="B41" s="285"/>
      <c r="C41" s="286"/>
      <c r="D41" s="285"/>
      <c r="E41" s="286"/>
      <c r="F41" s="300" t="s">
        <v>133</v>
      </c>
      <c r="G41" s="301">
        <f>SUM(F27:F40)</f>
        <v>0</v>
      </c>
      <c r="H41" s="300" t="s">
        <v>134</v>
      </c>
      <c r="I41" s="302">
        <f>SUM(I27:I40)</f>
        <v>0</v>
      </c>
      <c r="J41" s="285"/>
      <c r="K41" s="300" t="s">
        <v>131</v>
      </c>
      <c r="L41" s="286">
        <f>L40</f>
        <v>0</v>
      </c>
    </row>
    <row r="42" spans="1:12">
      <c r="A42" s="303"/>
      <c r="B42" s="285"/>
      <c r="C42" s="286"/>
      <c r="D42" s="285"/>
      <c r="E42" s="286"/>
      <c r="F42" s="286"/>
      <c r="G42" s="285"/>
      <c r="H42" s="286"/>
      <c r="I42" s="286"/>
      <c r="J42" s="301"/>
      <c r="K42" s="286"/>
    </row>
    <row r="43" spans="1:12">
      <c r="A43" s="303"/>
      <c r="B43" s="285"/>
      <c r="C43" s="286"/>
      <c r="D43" s="285"/>
      <c r="E43" s="286"/>
      <c r="F43" s="286"/>
      <c r="G43" s="285"/>
      <c r="H43" s="286"/>
      <c r="I43" s="286"/>
      <c r="J43" s="301"/>
      <c r="K43" s="286"/>
    </row>
    <row r="44" ht="15.75" spans="1:12">
      <c r="A44" s="283" t="s">
        <v>116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</row>
    <row r="45" ht="12.75" spans="1:12">
      <c r="A45" s="284" t="s">
        <v>117</v>
      </c>
      <c r="B45" s="285"/>
      <c r="C45" s="286"/>
      <c r="D45" s="285"/>
      <c r="E45" s="286"/>
      <c r="F45" s="286"/>
      <c r="G45" s="285"/>
      <c r="H45" s="286"/>
      <c r="I45" s="287" t="s">
        <v>135</v>
      </c>
      <c r="J45" s="288"/>
      <c r="K45" s="288"/>
    </row>
    <row r="46" ht="13.5" spans="1:12">
      <c r="A46" s="289" t="s">
        <v>119</v>
      </c>
      <c r="B46" s="290" t="s">
        <v>120</v>
      </c>
      <c r="C46" s="290"/>
      <c r="D46" s="291" t="s">
        <v>121</v>
      </c>
      <c r="E46" s="291"/>
      <c r="F46" s="291"/>
      <c r="G46" s="292" t="s">
        <v>122</v>
      </c>
      <c r="H46" s="292"/>
      <c r="I46" s="292"/>
      <c r="J46" s="293" t="s">
        <v>123</v>
      </c>
      <c r="K46" s="293"/>
      <c r="L46" s="293"/>
    </row>
    <row r="47" ht="13.5" spans="1:12">
      <c r="A47" s="289"/>
      <c r="B47" s="290" t="s">
        <v>124</v>
      </c>
      <c r="C47" s="294" t="s">
        <v>125</v>
      </c>
      <c r="D47" s="290" t="s">
        <v>124</v>
      </c>
      <c r="E47" s="294" t="s">
        <v>126</v>
      </c>
      <c r="F47" s="294" t="s">
        <v>127</v>
      </c>
      <c r="G47" s="290" t="s">
        <v>124</v>
      </c>
      <c r="H47" s="295" t="s">
        <v>128</v>
      </c>
      <c r="I47" s="294" t="s">
        <v>129</v>
      </c>
      <c r="J47" s="290" t="s">
        <v>130</v>
      </c>
      <c r="K47" s="296" t="s">
        <v>128</v>
      </c>
      <c r="L47" s="294" t="s">
        <v>131</v>
      </c>
    </row>
    <row r="48" ht="12.75" spans="1:12">
      <c r="A48" s="304" t="s">
        <v>138</v>
      </c>
      <c r="B48" s="285"/>
      <c r="C48" s="286">
        <f>20*B48</f>
        <v>0</v>
      </c>
      <c r="D48" s="285"/>
      <c r="E48" s="286"/>
      <c r="F48" s="286"/>
      <c r="G48" s="285"/>
      <c r="H48" s="298"/>
      <c r="I48" s="298"/>
      <c r="J48" s="285"/>
      <c r="K48" s="298"/>
      <c r="L48" s="298">
        <v>0</v>
      </c>
    </row>
    <row r="49" spans="1:12">
      <c r="A49" s="284"/>
      <c r="B49" s="285"/>
      <c r="C49" s="286"/>
      <c r="D49" s="285">
        <v>0</v>
      </c>
      <c r="E49" s="286">
        <f t="shared" ref="E49:E60" si="36">IF(D49=0,0,F49/D49)</f>
        <v>0</v>
      </c>
      <c r="F49" s="286">
        <v>0</v>
      </c>
      <c r="G49" s="285">
        <v>0</v>
      </c>
      <c r="H49" s="298"/>
      <c r="I49" s="286">
        <f t="shared" ref="I49:I60" si="37">IF(F49=0,G49*H49,0)</f>
        <v>0</v>
      </c>
      <c r="J49" s="285">
        <f t="shared" ref="J49:J60" si="38">D49-G49+J48</f>
        <v>0</v>
      </c>
      <c r="K49" s="298">
        <f t="shared" ref="K49:K60" si="39">IF(J49=0,0,L49/J49)</f>
        <v>0</v>
      </c>
      <c r="L49" s="286">
        <f t="shared" ref="L49:L60" si="40">IF(F49=0,L48-I49,L48+F49)</f>
        <v>0</v>
      </c>
    </row>
    <row r="50" spans="1:12">
      <c r="A50" s="284"/>
      <c r="B50" s="285"/>
      <c r="C50" s="286"/>
      <c r="D50" s="285">
        <v>0</v>
      </c>
      <c r="E50" s="286">
        <f t="shared" si="36"/>
        <v>0</v>
      </c>
      <c r="F50" s="286">
        <v>0</v>
      </c>
      <c r="G50" s="285">
        <v>0</v>
      </c>
      <c r="H50" s="298">
        <f t="shared" ref="H50:H60" si="41">K49</f>
        <v>0</v>
      </c>
      <c r="I50" s="286">
        <f t="shared" si="37"/>
        <v>0</v>
      </c>
      <c r="J50" s="285">
        <f t="shared" si="38"/>
        <v>0</v>
      </c>
      <c r="K50" s="298">
        <f t="shared" si="39"/>
        <v>0</v>
      </c>
      <c r="L50" s="286">
        <f t="shared" si="40"/>
        <v>0</v>
      </c>
    </row>
    <row r="51" spans="1:12">
      <c r="A51" s="284"/>
      <c r="B51" s="285"/>
      <c r="C51" s="286"/>
      <c r="D51" s="285">
        <v>0</v>
      </c>
      <c r="E51" s="286">
        <f t="shared" si="36"/>
        <v>0</v>
      </c>
      <c r="F51" s="286">
        <v>0</v>
      </c>
      <c r="G51" s="285">
        <v>0</v>
      </c>
      <c r="H51" s="298">
        <f t="shared" si="41"/>
        <v>0</v>
      </c>
      <c r="I51" s="286">
        <f t="shared" si="37"/>
        <v>0</v>
      </c>
      <c r="J51" s="285">
        <f t="shared" si="38"/>
        <v>0</v>
      </c>
      <c r="K51" s="298">
        <f t="shared" si="39"/>
        <v>0</v>
      </c>
      <c r="L51" s="286">
        <f t="shared" si="40"/>
        <v>0</v>
      </c>
    </row>
    <row r="52" spans="1:12">
      <c r="A52" s="284"/>
      <c r="B52" s="285"/>
      <c r="C52" s="286"/>
      <c r="D52" s="285">
        <v>0</v>
      </c>
      <c r="E52" s="286">
        <f t="shared" si="36"/>
        <v>0</v>
      </c>
      <c r="F52" s="286">
        <v>0</v>
      </c>
      <c r="G52" s="285">
        <v>0</v>
      </c>
      <c r="H52" s="298">
        <f t="shared" si="41"/>
        <v>0</v>
      </c>
      <c r="I52" s="286">
        <f t="shared" si="37"/>
        <v>0</v>
      </c>
      <c r="J52" s="285">
        <f t="shared" si="38"/>
        <v>0</v>
      </c>
      <c r="K52" s="298">
        <f t="shared" si="39"/>
        <v>0</v>
      </c>
      <c r="L52" s="286">
        <f t="shared" si="40"/>
        <v>0</v>
      </c>
    </row>
    <row r="53" spans="1:12">
      <c r="A53" s="284"/>
      <c r="B53" s="285"/>
      <c r="C53" s="286"/>
      <c r="D53" s="285">
        <v>0</v>
      </c>
      <c r="E53" s="286">
        <f t="shared" si="36"/>
        <v>0</v>
      </c>
      <c r="F53" s="286">
        <v>0</v>
      </c>
      <c r="G53" s="285">
        <v>0</v>
      </c>
      <c r="H53" s="298">
        <f t="shared" si="41"/>
        <v>0</v>
      </c>
      <c r="I53" s="286">
        <f t="shared" si="37"/>
        <v>0</v>
      </c>
      <c r="J53" s="285">
        <f t="shared" si="38"/>
        <v>0</v>
      </c>
      <c r="K53" s="298">
        <f t="shared" si="39"/>
        <v>0</v>
      </c>
      <c r="L53" s="286">
        <f t="shared" si="40"/>
        <v>0</v>
      </c>
    </row>
    <row r="54" spans="1:12">
      <c r="A54" s="284"/>
      <c r="B54" s="285"/>
      <c r="C54" s="286"/>
      <c r="D54" s="285">
        <v>0</v>
      </c>
      <c r="E54" s="286">
        <f t="shared" si="36"/>
        <v>0</v>
      </c>
      <c r="F54" s="286">
        <v>0</v>
      </c>
      <c r="G54" s="285">
        <v>0</v>
      </c>
      <c r="H54" s="298">
        <f t="shared" si="41"/>
        <v>0</v>
      </c>
      <c r="I54" s="286">
        <f t="shared" si="37"/>
        <v>0</v>
      </c>
      <c r="J54" s="285">
        <f t="shared" si="38"/>
        <v>0</v>
      </c>
      <c r="K54" s="298">
        <f t="shared" si="39"/>
        <v>0</v>
      </c>
      <c r="L54" s="286">
        <f t="shared" si="40"/>
        <v>0</v>
      </c>
    </row>
    <row r="55" spans="1:12">
      <c r="A55" s="284"/>
      <c r="B55" s="285"/>
      <c r="C55" s="286"/>
      <c r="D55" s="285">
        <v>0</v>
      </c>
      <c r="E55" s="286">
        <f t="shared" si="36"/>
        <v>0</v>
      </c>
      <c r="F55" s="286">
        <v>0</v>
      </c>
      <c r="G55" s="285">
        <v>0</v>
      </c>
      <c r="H55" s="298">
        <f t="shared" si="41"/>
        <v>0</v>
      </c>
      <c r="I55" s="286">
        <f t="shared" si="37"/>
        <v>0</v>
      </c>
      <c r="J55" s="285">
        <f t="shared" si="38"/>
        <v>0</v>
      </c>
      <c r="K55" s="298">
        <f t="shared" si="39"/>
        <v>0</v>
      </c>
      <c r="L55" s="286">
        <f t="shared" si="40"/>
        <v>0</v>
      </c>
    </row>
    <row r="56" spans="1:12">
      <c r="A56" s="284"/>
      <c r="B56" s="285"/>
      <c r="C56" s="286"/>
      <c r="D56" s="285">
        <v>0</v>
      </c>
      <c r="E56" s="286">
        <f t="shared" si="36"/>
        <v>0</v>
      </c>
      <c r="F56" s="286">
        <v>0</v>
      </c>
      <c r="G56" s="285">
        <v>0</v>
      </c>
      <c r="H56" s="298">
        <f t="shared" si="41"/>
        <v>0</v>
      </c>
      <c r="I56" s="286">
        <f t="shared" si="37"/>
        <v>0</v>
      </c>
      <c r="J56" s="285">
        <f t="shared" si="38"/>
        <v>0</v>
      </c>
      <c r="K56" s="298">
        <f t="shared" si="39"/>
        <v>0</v>
      </c>
      <c r="L56" s="286">
        <f t="shared" si="40"/>
        <v>0</v>
      </c>
    </row>
    <row r="57" spans="1:12">
      <c r="A57" s="284"/>
      <c r="B57" s="285"/>
      <c r="C57" s="286"/>
      <c r="D57" s="285">
        <v>0</v>
      </c>
      <c r="E57" s="286">
        <f t="shared" si="36"/>
        <v>0</v>
      </c>
      <c r="F57" s="286">
        <v>0</v>
      </c>
      <c r="G57" s="285">
        <v>0</v>
      </c>
      <c r="H57" s="298">
        <f t="shared" si="41"/>
        <v>0</v>
      </c>
      <c r="I57" s="286">
        <f t="shared" si="37"/>
        <v>0</v>
      </c>
      <c r="J57" s="285">
        <f t="shared" si="38"/>
        <v>0</v>
      </c>
      <c r="K57" s="298">
        <f t="shared" si="39"/>
        <v>0</v>
      </c>
      <c r="L57" s="286">
        <f t="shared" si="40"/>
        <v>0</v>
      </c>
    </row>
    <row r="58" spans="1:12">
      <c r="A58" s="299"/>
      <c r="B58" s="285"/>
      <c r="C58" s="286"/>
      <c r="D58" s="285">
        <v>0</v>
      </c>
      <c r="E58" s="286">
        <f t="shared" si="36"/>
        <v>0</v>
      </c>
      <c r="F58" s="286">
        <v>0</v>
      </c>
      <c r="G58" s="285">
        <v>0</v>
      </c>
      <c r="H58" s="298">
        <f t="shared" si="41"/>
        <v>0</v>
      </c>
      <c r="I58" s="286">
        <f t="shared" si="37"/>
        <v>0</v>
      </c>
      <c r="J58" s="285">
        <f t="shared" si="38"/>
        <v>0</v>
      </c>
      <c r="K58" s="298">
        <f t="shared" si="39"/>
        <v>0</v>
      </c>
      <c r="L58" s="286">
        <f t="shared" si="40"/>
        <v>0</v>
      </c>
    </row>
    <row r="59" spans="1:12">
      <c r="A59" s="284"/>
      <c r="B59" s="285"/>
      <c r="C59" s="286"/>
      <c r="D59" s="285">
        <v>0</v>
      </c>
      <c r="E59" s="286">
        <f t="shared" si="36"/>
        <v>0</v>
      </c>
      <c r="F59" s="286">
        <v>0</v>
      </c>
      <c r="G59" s="285">
        <v>0</v>
      </c>
      <c r="H59" s="298">
        <f t="shared" si="41"/>
        <v>0</v>
      </c>
      <c r="I59" s="286">
        <f t="shared" si="37"/>
        <v>0</v>
      </c>
      <c r="J59" s="285">
        <f t="shared" si="38"/>
        <v>0</v>
      </c>
      <c r="K59" s="298">
        <f t="shared" si="39"/>
        <v>0</v>
      </c>
      <c r="L59" s="286">
        <f t="shared" si="40"/>
        <v>0</v>
      </c>
    </row>
    <row r="60" spans="1:12">
      <c r="A60" s="284"/>
      <c r="B60" s="285"/>
      <c r="C60" s="286"/>
      <c r="D60" s="285">
        <v>0</v>
      </c>
      <c r="E60" s="286">
        <f t="shared" si="36"/>
        <v>0</v>
      </c>
      <c r="F60" s="286">
        <v>0</v>
      </c>
      <c r="G60" s="285">
        <v>0</v>
      </c>
      <c r="H60" s="298">
        <f t="shared" si="41"/>
        <v>0</v>
      </c>
      <c r="I60" s="286">
        <f t="shared" si="37"/>
        <v>0</v>
      </c>
      <c r="J60" s="285">
        <f t="shared" si="38"/>
        <v>0</v>
      </c>
      <c r="K60" s="298">
        <f t="shared" si="39"/>
        <v>0</v>
      </c>
      <c r="L60" s="286">
        <f t="shared" si="40"/>
        <v>0</v>
      </c>
    </row>
    <row r="61" ht="13.5" spans="1:12">
      <c r="A61" s="284"/>
      <c r="B61" s="285"/>
      <c r="C61" s="286"/>
      <c r="D61" s="285"/>
      <c r="E61" s="286"/>
      <c r="F61" s="300" t="s">
        <v>133</v>
      </c>
      <c r="G61" s="301">
        <f>SUM(F49:F60)</f>
        <v>0</v>
      </c>
      <c r="H61" s="300" t="s">
        <v>134</v>
      </c>
      <c r="I61" s="302">
        <f>SUM(I49:I60)</f>
        <v>0</v>
      </c>
      <c r="J61" s="285"/>
      <c r="K61" s="300" t="s">
        <v>131</v>
      </c>
      <c r="L61" s="286">
        <f>L60</f>
        <v>0</v>
      </c>
    </row>
    <row r="62" spans="1:12">
      <c r="A62" s="303"/>
      <c r="B62" s="285"/>
      <c r="C62" s="286"/>
      <c r="D62" s="285"/>
      <c r="E62" s="286"/>
      <c r="F62" s="286"/>
      <c r="G62" s="285"/>
      <c r="H62" s="286"/>
      <c r="I62" s="286"/>
      <c r="J62" s="301"/>
      <c r="K62" s="286"/>
    </row>
    <row r="63" spans="1:12">
      <c r="A63" s="303"/>
      <c r="B63" s="285"/>
      <c r="C63" s="286"/>
      <c r="D63" s="285"/>
      <c r="E63" s="286"/>
      <c r="F63" s="286"/>
      <c r="G63" s="285"/>
      <c r="H63" s="286"/>
      <c r="I63" s="286"/>
      <c r="J63" s="301"/>
      <c r="K63" s="286"/>
    </row>
    <row r="64" ht="15.75" spans="1:12">
      <c r="A64" s="283" t="s">
        <v>116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</row>
    <row r="65" ht="12.75" spans="1:12">
      <c r="A65" s="284" t="s">
        <v>117</v>
      </c>
      <c r="B65" s="285"/>
      <c r="C65" s="286"/>
      <c r="D65" s="285"/>
      <c r="E65" s="286"/>
      <c r="F65" s="286"/>
      <c r="G65" s="285"/>
      <c r="H65" s="286"/>
      <c r="I65" s="287" t="s">
        <v>135</v>
      </c>
      <c r="J65" s="288"/>
      <c r="K65" s="288"/>
    </row>
    <row r="66" ht="13.5" spans="1:12">
      <c r="A66" s="289" t="s">
        <v>119</v>
      </c>
      <c r="B66" s="290" t="s">
        <v>120</v>
      </c>
      <c r="C66" s="290"/>
      <c r="D66" s="291" t="s">
        <v>121</v>
      </c>
      <c r="E66" s="291"/>
      <c r="F66" s="291"/>
      <c r="G66" s="292" t="s">
        <v>122</v>
      </c>
      <c r="H66" s="292"/>
      <c r="I66" s="292"/>
      <c r="J66" s="293" t="s">
        <v>123</v>
      </c>
      <c r="K66" s="293"/>
      <c r="L66" s="293"/>
    </row>
    <row r="67" ht="13.5" spans="1:12">
      <c r="A67" s="289"/>
      <c r="B67" s="290" t="s">
        <v>124</v>
      </c>
      <c r="C67" s="294" t="s">
        <v>125</v>
      </c>
      <c r="D67" s="290" t="s">
        <v>124</v>
      </c>
      <c r="E67" s="294" t="s">
        <v>126</v>
      </c>
      <c r="F67" s="294" t="s">
        <v>127</v>
      </c>
      <c r="G67" s="290" t="s">
        <v>124</v>
      </c>
      <c r="H67" s="295" t="s">
        <v>128</v>
      </c>
      <c r="I67" s="294" t="s">
        <v>129</v>
      </c>
      <c r="J67" s="290" t="s">
        <v>130</v>
      </c>
      <c r="K67" s="296" t="s">
        <v>128</v>
      </c>
      <c r="L67" s="294" t="s">
        <v>131</v>
      </c>
    </row>
    <row r="68" ht="12.75" spans="1:12">
      <c r="A68" s="304" t="s">
        <v>148</v>
      </c>
      <c r="B68" s="285"/>
      <c r="C68" s="286">
        <f>20*B68</f>
        <v>0</v>
      </c>
      <c r="D68" s="285"/>
      <c r="E68" s="286"/>
      <c r="F68" s="286"/>
      <c r="G68" s="285"/>
      <c r="H68" s="298"/>
      <c r="I68" s="298"/>
      <c r="J68" s="285"/>
      <c r="K68" s="298"/>
      <c r="L68" s="298">
        <v>0</v>
      </c>
    </row>
    <row r="69" spans="1:12">
      <c r="A69" s="284"/>
      <c r="B69" s="285"/>
      <c r="C69" s="286"/>
      <c r="D69" s="285">
        <v>0</v>
      </c>
      <c r="E69" s="286">
        <f t="shared" ref="E69:E80" si="42">IF(D69=0,0,F69/D69)</f>
        <v>0</v>
      </c>
      <c r="F69" s="286">
        <v>0</v>
      </c>
      <c r="G69" s="285">
        <v>0</v>
      </c>
      <c r="H69" s="298"/>
      <c r="I69" s="286">
        <f t="shared" ref="I69:I80" si="43">IF(F69=0,G69*H69,0)</f>
        <v>0</v>
      </c>
      <c r="J69" s="285">
        <f t="shared" ref="J69:J80" si="44">D69-G69+J68</f>
        <v>0</v>
      </c>
      <c r="K69" s="298">
        <f t="shared" ref="K69:K80" si="45">IF(J69=0,0,L69/J69)</f>
        <v>0</v>
      </c>
      <c r="L69" s="286">
        <f t="shared" ref="L69:L80" si="46">IF(F69=0,L68-I69,L68+F69)</f>
        <v>0</v>
      </c>
    </row>
    <row r="70" spans="1:12">
      <c r="A70" s="284"/>
      <c r="B70" s="285"/>
      <c r="C70" s="286"/>
      <c r="D70" s="285">
        <v>0</v>
      </c>
      <c r="E70" s="286">
        <f t="shared" si="42"/>
        <v>0</v>
      </c>
      <c r="F70" s="286">
        <v>0</v>
      </c>
      <c r="G70" s="285">
        <v>0</v>
      </c>
      <c r="H70" s="298">
        <f t="shared" ref="H70:H80" si="47">K69</f>
        <v>0</v>
      </c>
      <c r="I70" s="286">
        <f t="shared" si="43"/>
        <v>0</v>
      </c>
      <c r="J70" s="285">
        <f t="shared" si="44"/>
        <v>0</v>
      </c>
      <c r="K70" s="298">
        <f t="shared" si="45"/>
        <v>0</v>
      </c>
      <c r="L70" s="286">
        <f t="shared" si="46"/>
        <v>0</v>
      </c>
    </row>
    <row r="71" spans="1:12">
      <c r="A71" s="284"/>
      <c r="B71" s="285"/>
      <c r="C71" s="286"/>
      <c r="D71" s="285">
        <v>0</v>
      </c>
      <c r="E71" s="286">
        <f t="shared" si="42"/>
        <v>0</v>
      </c>
      <c r="F71" s="286">
        <v>0</v>
      </c>
      <c r="G71" s="285">
        <v>0</v>
      </c>
      <c r="H71" s="298">
        <f t="shared" si="47"/>
        <v>0</v>
      </c>
      <c r="I71" s="286">
        <f t="shared" si="43"/>
        <v>0</v>
      </c>
      <c r="J71" s="285">
        <f t="shared" si="44"/>
        <v>0</v>
      </c>
      <c r="K71" s="298">
        <f t="shared" si="45"/>
        <v>0</v>
      </c>
      <c r="L71" s="286">
        <f t="shared" si="46"/>
        <v>0</v>
      </c>
    </row>
    <row r="72" spans="1:12">
      <c r="A72" s="284"/>
      <c r="B72" s="285"/>
      <c r="C72" s="286"/>
      <c r="D72" s="285">
        <v>0</v>
      </c>
      <c r="E72" s="286">
        <f t="shared" si="42"/>
        <v>0</v>
      </c>
      <c r="F72" s="286">
        <v>0</v>
      </c>
      <c r="G72" s="285">
        <v>0</v>
      </c>
      <c r="H72" s="298">
        <f t="shared" si="47"/>
        <v>0</v>
      </c>
      <c r="I72" s="286">
        <f t="shared" si="43"/>
        <v>0</v>
      </c>
      <c r="J72" s="285">
        <f t="shared" si="44"/>
        <v>0</v>
      </c>
      <c r="K72" s="298">
        <f t="shared" si="45"/>
        <v>0</v>
      </c>
      <c r="L72" s="286">
        <f t="shared" si="46"/>
        <v>0</v>
      </c>
    </row>
    <row r="73" spans="1:12">
      <c r="A73" s="284"/>
      <c r="B73" s="285"/>
      <c r="C73" s="286"/>
      <c r="D73" s="285">
        <v>0</v>
      </c>
      <c r="E73" s="286">
        <f t="shared" si="42"/>
        <v>0</v>
      </c>
      <c r="F73" s="286">
        <v>0</v>
      </c>
      <c r="G73" s="285">
        <v>0</v>
      </c>
      <c r="H73" s="298">
        <f t="shared" si="47"/>
        <v>0</v>
      </c>
      <c r="I73" s="286">
        <f t="shared" si="43"/>
        <v>0</v>
      </c>
      <c r="J73" s="285">
        <f t="shared" si="44"/>
        <v>0</v>
      </c>
      <c r="K73" s="298">
        <f t="shared" si="45"/>
        <v>0</v>
      </c>
      <c r="L73" s="286">
        <f t="shared" si="46"/>
        <v>0</v>
      </c>
    </row>
    <row r="74" spans="1:12">
      <c r="A74" s="284"/>
      <c r="B74" s="285"/>
      <c r="C74" s="286"/>
      <c r="D74" s="285">
        <v>0</v>
      </c>
      <c r="E74" s="286">
        <f t="shared" si="42"/>
        <v>0</v>
      </c>
      <c r="F74" s="286">
        <v>0</v>
      </c>
      <c r="G74" s="285">
        <v>0</v>
      </c>
      <c r="H74" s="298">
        <f t="shared" si="47"/>
        <v>0</v>
      </c>
      <c r="I74" s="286">
        <f t="shared" si="43"/>
        <v>0</v>
      </c>
      <c r="J74" s="285">
        <f t="shared" si="44"/>
        <v>0</v>
      </c>
      <c r="K74" s="298">
        <f t="shared" si="45"/>
        <v>0</v>
      </c>
      <c r="L74" s="286">
        <f t="shared" si="46"/>
        <v>0</v>
      </c>
    </row>
    <row r="75" spans="1:12">
      <c r="A75" s="284"/>
      <c r="B75" s="285"/>
      <c r="C75" s="286"/>
      <c r="D75" s="285">
        <v>0</v>
      </c>
      <c r="E75" s="286">
        <f t="shared" si="42"/>
        <v>0</v>
      </c>
      <c r="F75" s="286">
        <v>0</v>
      </c>
      <c r="G75" s="285">
        <v>0</v>
      </c>
      <c r="H75" s="298">
        <f t="shared" si="47"/>
        <v>0</v>
      </c>
      <c r="I75" s="286">
        <f t="shared" si="43"/>
        <v>0</v>
      </c>
      <c r="J75" s="285">
        <f t="shared" si="44"/>
        <v>0</v>
      </c>
      <c r="K75" s="298">
        <f t="shared" si="45"/>
        <v>0</v>
      </c>
      <c r="L75" s="286">
        <f t="shared" si="46"/>
        <v>0</v>
      </c>
    </row>
    <row r="76" spans="1:12">
      <c r="A76" s="284"/>
      <c r="B76" s="285"/>
      <c r="C76" s="286"/>
      <c r="D76" s="285">
        <v>0</v>
      </c>
      <c r="E76" s="286">
        <f t="shared" si="42"/>
        <v>0</v>
      </c>
      <c r="F76" s="286">
        <v>0</v>
      </c>
      <c r="G76" s="285">
        <v>0</v>
      </c>
      <c r="H76" s="298">
        <f t="shared" si="47"/>
        <v>0</v>
      </c>
      <c r="I76" s="286">
        <f t="shared" si="43"/>
        <v>0</v>
      </c>
      <c r="J76" s="285">
        <f t="shared" si="44"/>
        <v>0</v>
      </c>
      <c r="K76" s="298">
        <f t="shared" si="45"/>
        <v>0</v>
      </c>
      <c r="L76" s="286">
        <f t="shared" si="46"/>
        <v>0</v>
      </c>
    </row>
    <row r="77" spans="1:12">
      <c r="A77" s="284"/>
      <c r="B77" s="285"/>
      <c r="C77" s="286"/>
      <c r="D77" s="285">
        <v>0</v>
      </c>
      <c r="E77" s="286">
        <f t="shared" si="42"/>
        <v>0</v>
      </c>
      <c r="F77" s="286">
        <v>0</v>
      </c>
      <c r="G77" s="285">
        <v>0</v>
      </c>
      <c r="H77" s="298">
        <f t="shared" si="47"/>
        <v>0</v>
      </c>
      <c r="I77" s="286">
        <f t="shared" si="43"/>
        <v>0</v>
      </c>
      <c r="J77" s="285">
        <f t="shared" si="44"/>
        <v>0</v>
      </c>
      <c r="K77" s="298">
        <f t="shared" si="45"/>
        <v>0</v>
      </c>
      <c r="L77" s="286">
        <f t="shared" si="46"/>
        <v>0</v>
      </c>
    </row>
    <row r="78" spans="1:12">
      <c r="A78" s="299"/>
      <c r="B78" s="285"/>
      <c r="C78" s="286"/>
      <c r="D78" s="285">
        <v>0</v>
      </c>
      <c r="E78" s="286">
        <f t="shared" si="42"/>
        <v>0</v>
      </c>
      <c r="F78" s="286">
        <v>0</v>
      </c>
      <c r="G78" s="285">
        <v>0</v>
      </c>
      <c r="H78" s="298">
        <f t="shared" si="47"/>
        <v>0</v>
      </c>
      <c r="I78" s="286">
        <f t="shared" si="43"/>
        <v>0</v>
      </c>
      <c r="J78" s="285">
        <f t="shared" si="44"/>
        <v>0</v>
      </c>
      <c r="K78" s="298">
        <f t="shared" si="45"/>
        <v>0</v>
      </c>
      <c r="L78" s="286">
        <f t="shared" si="46"/>
        <v>0</v>
      </c>
    </row>
    <row r="79" spans="1:12">
      <c r="A79" s="284"/>
      <c r="B79" s="285"/>
      <c r="C79" s="286"/>
      <c r="D79" s="285">
        <v>0</v>
      </c>
      <c r="E79" s="286">
        <f t="shared" si="42"/>
        <v>0</v>
      </c>
      <c r="F79" s="286">
        <v>0</v>
      </c>
      <c r="G79" s="285">
        <v>0</v>
      </c>
      <c r="H79" s="298">
        <f t="shared" si="47"/>
        <v>0</v>
      </c>
      <c r="I79" s="286">
        <f t="shared" si="43"/>
        <v>0</v>
      </c>
      <c r="J79" s="285">
        <f t="shared" si="44"/>
        <v>0</v>
      </c>
      <c r="K79" s="298">
        <f t="shared" si="45"/>
        <v>0</v>
      </c>
      <c r="L79" s="286">
        <f t="shared" si="46"/>
        <v>0</v>
      </c>
    </row>
    <row r="80" spans="1:12">
      <c r="A80" s="284"/>
      <c r="B80" s="285"/>
      <c r="C80" s="286"/>
      <c r="D80" s="285">
        <v>0</v>
      </c>
      <c r="E80" s="286">
        <f t="shared" si="42"/>
        <v>0</v>
      </c>
      <c r="F80" s="286">
        <v>0</v>
      </c>
      <c r="G80" s="285">
        <v>0</v>
      </c>
      <c r="H80" s="298">
        <f t="shared" si="47"/>
        <v>0</v>
      </c>
      <c r="I80" s="286">
        <f t="shared" si="43"/>
        <v>0</v>
      </c>
      <c r="J80" s="285">
        <f t="shared" si="44"/>
        <v>0</v>
      </c>
      <c r="K80" s="298">
        <f t="shared" si="45"/>
        <v>0</v>
      </c>
      <c r="L80" s="286">
        <f t="shared" si="46"/>
        <v>0</v>
      </c>
    </row>
    <row r="81" ht="13.5" spans="1:12">
      <c r="A81" s="284"/>
      <c r="B81" s="285"/>
      <c r="C81" s="286"/>
      <c r="D81" s="285"/>
      <c r="E81" s="286"/>
      <c r="F81" s="300" t="s">
        <v>133</v>
      </c>
      <c r="G81" s="301">
        <f>SUM(F69:F80)</f>
        <v>0</v>
      </c>
      <c r="H81" s="300" t="s">
        <v>134</v>
      </c>
      <c r="I81" s="302">
        <f>SUM(I69:I80)</f>
        <v>0</v>
      </c>
      <c r="J81" s="285"/>
      <c r="K81" s="300" t="s">
        <v>131</v>
      </c>
      <c r="L81" s="286">
        <f>L80</f>
        <v>0</v>
      </c>
    </row>
    <row r="82" spans="1:12">
      <c r="A82" s="303"/>
      <c r="B82" s="285"/>
      <c r="C82" s="286"/>
      <c r="D82" s="285"/>
      <c r="E82" s="286"/>
      <c r="F82" s="286"/>
      <c r="G82" s="285"/>
      <c r="H82" s="286"/>
      <c r="I82" s="286"/>
      <c r="J82" s="301"/>
      <c r="K82" s="286"/>
    </row>
    <row r="83" spans="1:12">
      <c r="A83" s="303"/>
      <c r="B83" s="285"/>
      <c r="C83" s="286"/>
      <c r="D83" s="285"/>
      <c r="E83" s="286"/>
      <c r="F83" s="286"/>
      <c r="G83" s="285"/>
      <c r="H83" s="286"/>
      <c r="I83" s="286"/>
      <c r="J83" s="301"/>
      <c r="K83" s="286"/>
    </row>
    <row r="84" ht="15.75" spans="1:12">
      <c r="A84" s="283" t="s">
        <v>116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</row>
    <row r="85" ht="12.75" spans="1:12">
      <c r="A85" s="284" t="s">
        <v>117</v>
      </c>
      <c r="B85" s="285"/>
      <c r="C85" s="286"/>
      <c r="D85" s="285"/>
      <c r="E85" s="286"/>
      <c r="F85" s="286"/>
      <c r="G85" s="285"/>
      <c r="H85" s="286"/>
      <c r="I85" s="287" t="s">
        <v>135</v>
      </c>
      <c r="J85" s="288"/>
      <c r="K85" s="288"/>
    </row>
    <row r="86" ht="13.5" spans="1:12">
      <c r="A86" s="289" t="s">
        <v>119</v>
      </c>
      <c r="B86" s="290" t="s">
        <v>120</v>
      </c>
      <c r="C86" s="290"/>
      <c r="D86" s="291" t="s">
        <v>121</v>
      </c>
      <c r="E86" s="291"/>
      <c r="F86" s="291"/>
      <c r="G86" s="292" t="s">
        <v>122</v>
      </c>
      <c r="H86" s="292"/>
      <c r="I86" s="292"/>
      <c r="J86" s="293" t="s">
        <v>123</v>
      </c>
      <c r="K86" s="293"/>
      <c r="L86" s="293"/>
    </row>
    <row r="87" ht="13.5" spans="1:12">
      <c r="A87" s="289"/>
      <c r="B87" s="290" t="s">
        <v>124</v>
      </c>
      <c r="C87" s="294" t="s">
        <v>125</v>
      </c>
      <c r="D87" s="290" t="s">
        <v>124</v>
      </c>
      <c r="E87" s="294" t="s">
        <v>126</v>
      </c>
      <c r="F87" s="294" t="s">
        <v>127</v>
      </c>
      <c r="G87" s="290" t="s">
        <v>124</v>
      </c>
      <c r="H87" s="295" t="s">
        <v>128</v>
      </c>
      <c r="I87" s="294" t="s">
        <v>129</v>
      </c>
      <c r="J87" s="290" t="s">
        <v>130</v>
      </c>
      <c r="K87" s="296" t="s">
        <v>128</v>
      </c>
      <c r="L87" s="294" t="s">
        <v>131</v>
      </c>
    </row>
    <row r="88" ht="12.75" spans="1:12">
      <c r="A88" s="304" t="s">
        <v>149</v>
      </c>
      <c r="B88" s="285"/>
      <c r="C88" s="286">
        <f>20*B88</f>
        <v>0</v>
      </c>
      <c r="D88" s="285"/>
      <c r="E88" s="286"/>
      <c r="F88" s="286"/>
      <c r="G88" s="285"/>
      <c r="H88" s="298"/>
      <c r="I88" s="298"/>
      <c r="J88" s="285"/>
      <c r="K88" s="298"/>
      <c r="L88" s="298">
        <v>0</v>
      </c>
    </row>
    <row r="89" spans="1:12">
      <c r="A89" s="284"/>
      <c r="B89" s="285"/>
      <c r="C89" s="286"/>
      <c r="D89" s="285">
        <v>0</v>
      </c>
      <c r="E89" s="286">
        <f t="shared" ref="E89:E100" si="48">IF(D89=0,0,F89/D89)</f>
        <v>0</v>
      </c>
      <c r="F89" s="286">
        <v>0</v>
      </c>
      <c r="G89" s="285">
        <v>0</v>
      </c>
      <c r="H89" s="298"/>
      <c r="I89" s="286">
        <f t="shared" ref="I89:I100" si="49">IF(F89=0,G89*H89,0)</f>
        <v>0</v>
      </c>
      <c r="J89" s="285">
        <f t="shared" ref="J89:J100" si="50">D89-G89+J88</f>
        <v>0</v>
      </c>
      <c r="K89" s="298">
        <f t="shared" ref="K89:K100" si="51">IF(J89=0,0,L89/J89)</f>
        <v>0</v>
      </c>
      <c r="L89" s="286">
        <f t="shared" ref="L89:L100" si="52">IF(F89=0,L88-I89,L88+F89)</f>
        <v>0</v>
      </c>
    </row>
    <row r="90" spans="1:12">
      <c r="A90" s="284"/>
      <c r="B90" s="285"/>
      <c r="C90" s="286"/>
      <c r="D90" s="285">
        <v>0</v>
      </c>
      <c r="E90" s="286">
        <f t="shared" si="48"/>
        <v>0</v>
      </c>
      <c r="F90" s="286">
        <v>0</v>
      </c>
      <c r="G90" s="285">
        <v>0</v>
      </c>
      <c r="H90" s="298">
        <f t="shared" ref="H90:H100" si="53">K89</f>
        <v>0</v>
      </c>
      <c r="I90" s="286">
        <f t="shared" si="49"/>
        <v>0</v>
      </c>
      <c r="J90" s="285">
        <f t="shared" si="50"/>
        <v>0</v>
      </c>
      <c r="K90" s="298">
        <f t="shared" si="51"/>
        <v>0</v>
      </c>
      <c r="L90" s="286">
        <f t="shared" si="52"/>
        <v>0</v>
      </c>
    </row>
    <row r="91" spans="1:12">
      <c r="A91" s="284"/>
      <c r="B91" s="285"/>
      <c r="C91" s="286"/>
      <c r="D91" s="285">
        <v>0</v>
      </c>
      <c r="E91" s="286">
        <f t="shared" si="48"/>
        <v>0</v>
      </c>
      <c r="F91" s="286">
        <v>0</v>
      </c>
      <c r="G91" s="285">
        <v>0</v>
      </c>
      <c r="H91" s="298">
        <f t="shared" si="53"/>
        <v>0</v>
      </c>
      <c r="I91" s="286">
        <f t="shared" si="49"/>
        <v>0</v>
      </c>
      <c r="J91" s="285">
        <f t="shared" si="50"/>
        <v>0</v>
      </c>
      <c r="K91" s="298">
        <f t="shared" si="51"/>
        <v>0</v>
      </c>
      <c r="L91" s="286">
        <f t="shared" si="52"/>
        <v>0</v>
      </c>
    </row>
    <row r="92" spans="1:12">
      <c r="A92" s="284"/>
      <c r="B92" s="285"/>
      <c r="C92" s="286"/>
      <c r="D92" s="285">
        <v>0</v>
      </c>
      <c r="E92" s="286">
        <f t="shared" si="48"/>
        <v>0</v>
      </c>
      <c r="F92" s="286">
        <v>0</v>
      </c>
      <c r="G92" s="285">
        <v>0</v>
      </c>
      <c r="H92" s="298">
        <f t="shared" si="53"/>
        <v>0</v>
      </c>
      <c r="I92" s="286">
        <f t="shared" si="49"/>
        <v>0</v>
      </c>
      <c r="J92" s="285">
        <f t="shared" si="50"/>
        <v>0</v>
      </c>
      <c r="K92" s="298">
        <f t="shared" si="51"/>
        <v>0</v>
      </c>
      <c r="L92" s="286">
        <f t="shared" si="52"/>
        <v>0</v>
      </c>
    </row>
    <row r="93" spans="1:12">
      <c r="A93" s="284"/>
      <c r="B93" s="285"/>
      <c r="C93" s="286"/>
      <c r="D93" s="285">
        <v>0</v>
      </c>
      <c r="E93" s="286">
        <f t="shared" si="48"/>
        <v>0</v>
      </c>
      <c r="F93" s="286">
        <v>0</v>
      </c>
      <c r="G93" s="285">
        <v>0</v>
      </c>
      <c r="H93" s="298">
        <f t="shared" si="53"/>
        <v>0</v>
      </c>
      <c r="I93" s="286">
        <f t="shared" si="49"/>
        <v>0</v>
      </c>
      <c r="J93" s="285">
        <f t="shared" si="50"/>
        <v>0</v>
      </c>
      <c r="K93" s="298">
        <f t="shared" si="51"/>
        <v>0</v>
      </c>
      <c r="L93" s="286">
        <f t="shared" si="52"/>
        <v>0</v>
      </c>
    </row>
    <row r="94" spans="1:12">
      <c r="A94" s="284"/>
      <c r="B94" s="285"/>
      <c r="C94" s="286"/>
      <c r="D94" s="285">
        <v>0</v>
      </c>
      <c r="E94" s="286">
        <f t="shared" si="48"/>
        <v>0</v>
      </c>
      <c r="F94" s="286">
        <v>0</v>
      </c>
      <c r="G94" s="285">
        <v>0</v>
      </c>
      <c r="H94" s="298">
        <f t="shared" si="53"/>
        <v>0</v>
      </c>
      <c r="I94" s="286">
        <f t="shared" si="49"/>
        <v>0</v>
      </c>
      <c r="J94" s="285">
        <f t="shared" si="50"/>
        <v>0</v>
      </c>
      <c r="K94" s="298">
        <f t="shared" si="51"/>
        <v>0</v>
      </c>
      <c r="L94" s="286">
        <f t="shared" si="52"/>
        <v>0</v>
      </c>
    </row>
    <row r="95" spans="1:12">
      <c r="A95" s="284"/>
      <c r="B95" s="285"/>
      <c r="C95" s="286"/>
      <c r="D95" s="285">
        <v>0</v>
      </c>
      <c r="E95" s="286">
        <f t="shared" si="48"/>
        <v>0</v>
      </c>
      <c r="F95" s="286">
        <v>0</v>
      </c>
      <c r="G95" s="285">
        <v>0</v>
      </c>
      <c r="H95" s="298">
        <f t="shared" si="53"/>
        <v>0</v>
      </c>
      <c r="I95" s="286">
        <f t="shared" si="49"/>
        <v>0</v>
      </c>
      <c r="J95" s="285">
        <f t="shared" si="50"/>
        <v>0</v>
      </c>
      <c r="K95" s="298">
        <f t="shared" si="51"/>
        <v>0</v>
      </c>
      <c r="L95" s="286">
        <f t="shared" si="52"/>
        <v>0</v>
      </c>
    </row>
    <row r="96" spans="1:12">
      <c r="A96" s="284"/>
      <c r="B96" s="285"/>
      <c r="C96" s="286"/>
      <c r="D96" s="285">
        <v>0</v>
      </c>
      <c r="E96" s="286">
        <f t="shared" si="48"/>
        <v>0</v>
      </c>
      <c r="F96" s="286">
        <v>0</v>
      </c>
      <c r="G96" s="285">
        <v>0</v>
      </c>
      <c r="H96" s="298">
        <f t="shared" si="53"/>
        <v>0</v>
      </c>
      <c r="I96" s="286">
        <f t="shared" si="49"/>
        <v>0</v>
      </c>
      <c r="J96" s="285">
        <f t="shared" si="50"/>
        <v>0</v>
      </c>
      <c r="K96" s="298">
        <f t="shared" si="51"/>
        <v>0</v>
      </c>
      <c r="L96" s="286">
        <f t="shared" si="52"/>
        <v>0</v>
      </c>
    </row>
    <row r="97" spans="1:12">
      <c r="A97" s="284"/>
      <c r="B97" s="285"/>
      <c r="C97" s="286"/>
      <c r="D97" s="285">
        <v>0</v>
      </c>
      <c r="E97" s="286">
        <f t="shared" si="48"/>
        <v>0</v>
      </c>
      <c r="F97" s="286">
        <v>0</v>
      </c>
      <c r="G97" s="285">
        <v>0</v>
      </c>
      <c r="H97" s="298">
        <f t="shared" si="53"/>
        <v>0</v>
      </c>
      <c r="I97" s="286">
        <f t="shared" si="49"/>
        <v>0</v>
      </c>
      <c r="J97" s="285">
        <f t="shared" si="50"/>
        <v>0</v>
      </c>
      <c r="K97" s="298">
        <f t="shared" si="51"/>
        <v>0</v>
      </c>
      <c r="L97" s="286">
        <f t="shared" si="52"/>
        <v>0</v>
      </c>
    </row>
    <row r="98" spans="1:12">
      <c r="A98" s="299"/>
      <c r="B98" s="285"/>
      <c r="C98" s="286"/>
      <c r="D98" s="285">
        <v>0</v>
      </c>
      <c r="E98" s="286">
        <f t="shared" si="48"/>
        <v>0</v>
      </c>
      <c r="F98" s="286">
        <v>0</v>
      </c>
      <c r="G98" s="285">
        <v>0</v>
      </c>
      <c r="H98" s="298">
        <f t="shared" si="53"/>
        <v>0</v>
      </c>
      <c r="I98" s="286">
        <f t="shared" si="49"/>
        <v>0</v>
      </c>
      <c r="J98" s="285">
        <f t="shared" si="50"/>
        <v>0</v>
      </c>
      <c r="K98" s="298">
        <f t="shared" si="51"/>
        <v>0</v>
      </c>
      <c r="L98" s="286">
        <f t="shared" si="52"/>
        <v>0</v>
      </c>
    </row>
    <row r="99" spans="1:12">
      <c r="A99" s="284"/>
      <c r="B99" s="285"/>
      <c r="C99" s="286"/>
      <c r="D99" s="285">
        <v>0</v>
      </c>
      <c r="E99" s="286">
        <f t="shared" si="48"/>
        <v>0</v>
      </c>
      <c r="F99" s="286">
        <v>0</v>
      </c>
      <c r="G99" s="285">
        <v>0</v>
      </c>
      <c r="H99" s="298">
        <f t="shared" si="53"/>
        <v>0</v>
      </c>
      <c r="I99" s="286">
        <f t="shared" si="49"/>
        <v>0</v>
      </c>
      <c r="J99" s="285">
        <f t="shared" si="50"/>
        <v>0</v>
      </c>
      <c r="K99" s="298">
        <f t="shared" si="51"/>
        <v>0</v>
      </c>
      <c r="L99" s="286">
        <f t="shared" si="52"/>
        <v>0</v>
      </c>
    </row>
    <row r="100" spans="1:12">
      <c r="A100" s="284"/>
      <c r="B100" s="285"/>
      <c r="C100" s="286"/>
      <c r="D100" s="285">
        <v>0</v>
      </c>
      <c r="E100" s="286">
        <f t="shared" si="48"/>
        <v>0</v>
      </c>
      <c r="F100" s="286">
        <v>0</v>
      </c>
      <c r="G100" s="285">
        <v>0</v>
      </c>
      <c r="H100" s="298">
        <f t="shared" si="53"/>
        <v>0</v>
      </c>
      <c r="I100" s="286">
        <f t="shared" si="49"/>
        <v>0</v>
      </c>
      <c r="J100" s="285">
        <f t="shared" si="50"/>
        <v>0</v>
      </c>
      <c r="K100" s="298">
        <f t="shared" si="51"/>
        <v>0</v>
      </c>
      <c r="L100" s="286">
        <f t="shared" si="52"/>
        <v>0</v>
      </c>
    </row>
    <row r="101" ht="13.5" spans="1:12">
      <c r="A101" s="284"/>
      <c r="B101" s="285"/>
      <c r="C101" s="286"/>
      <c r="D101" s="285"/>
      <c r="E101" s="286"/>
      <c r="F101" s="300" t="s">
        <v>133</v>
      </c>
      <c r="G101" s="301">
        <f>SUM(F89:F100)</f>
        <v>0</v>
      </c>
      <c r="H101" s="300" t="s">
        <v>134</v>
      </c>
      <c r="I101" s="302">
        <f>SUM(I89:I100)</f>
        <v>0</v>
      </c>
      <c r="J101" s="285"/>
      <c r="K101" s="300" t="s">
        <v>131</v>
      </c>
      <c r="L101" s="286">
        <f>L100</f>
        <v>0</v>
      </c>
    </row>
    <row r="102" spans="1:12">
      <c r="A102" s="303"/>
      <c r="B102" s="285"/>
      <c r="C102" s="286"/>
      <c r="D102" s="285"/>
      <c r="E102" s="286"/>
      <c r="F102" s="286"/>
      <c r="G102" s="285"/>
      <c r="H102" s="286"/>
      <c r="I102" s="286"/>
      <c r="J102" s="301"/>
      <c r="K102" s="286"/>
    </row>
    <row r="103" spans="1:12">
      <c r="A103" s="303"/>
      <c r="B103" s="285"/>
      <c r="C103" s="286"/>
      <c r="D103" s="285"/>
      <c r="E103" s="286"/>
      <c r="F103" s="286"/>
      <c r="G103" s="285"/>
      <c r="H103" s="286"/>
      <c r="I103" s="286"/>
      <c r="J103" s="301"/>
      <c r="K103" s="286"/>
    </row>
    <row r="104" ht="15.75" spans="1:12">
      <c r="A104" s="283" t="s">
        <v>116</v>
      </c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</row>
    <row r="105" ht="12.75" spans="1:12">
      <c r="A105" s="284" t="s">
        <v>117</v>
      </c>
      <c r="B105" s="285"/>
      <c r="C105" s="286"/>
      <c r="D105" s="285"/>
      <c r="E105" s="286"/>
      <c r="F105" s="286"/>
      <c r="G105" s="285"/>
      <c r="H105" s="286"/>
      <c r="I105" s="287" t="s">
        <v>135</v>
      </c>
      <c r="J105" s="288"/>
      <c r="K105" s="288"/>
    </row>
    <row r="106" ht="13.5" spans="1:12">
      <c r="A106" s="289" t="s">
        <v>119</v>
      </c>
      <c r="B106" s="290" t="s">
        <v>120</v>
      </c>
      <c r="C106" s="290"/>
      <c r="D106" s="291" t="s">
        <v>121</v>
      </c>
      <c r="E106" s="291"/>
      <c r="F106" s="291"/>
      <c r="G106" s="292" t="s">
        <v>122</v>
      </c>
      <c r="H106" s="292"/>
      <c r="I106" s="292"/>
      <c r="J106" s="293" t="s">
        <v>123</v>
      </c>
      <c r="K106" s="293"/>
      <c r="L106" s="293"/>
    </row>
    <row r="107" ht="13.5" spans="1:12">
      <c r="A107" s="289"/>
      <c r="B107" s="290" t="s">
        <v>124</v>
      </c>
      <c r="C107" s="294" t="s">
        <v>125</v>
      </c>
      <c r="D107" s="290" t="s">
        <v>124</v>
      </c>
      <c r="E107" s="294" t="s">
        <v>126</v>
      </c>
      <c r="F107" s="294" t="s">
        <v>127</v>
      </c>
      <c r="G107" s="290" t="s">
        <v>124</v>
      </c>
      <c r="H107" s="295" t="s">
        <v>128</v>
      </c>
      <c r="I107" s="294" t="s">
        <v>129</v>
      </c>
      <c r="J107" s="290" t="s">
        <v>130</v>
      </c>
      <c r="K107" s="296" t="s">
        <v>128</v>
      </c>
      <c r="L107" s="294" t="s">
        <v>131</v>
      </c>
    </row>
    <row r="108" ht="12.75" spans="1:12">
      <c r="A108" s="304" t="s">
        <v>150</v>
      </c>
      <c r="B108" s="285"/>
      <c r="C108" s="286">
        <f>20*B108</f>
        <v>0</v>
      </c>
      <c r="D108" s="285"/>
      <c r="E108" s="286"/>
      <c r="F108" s="286"/>
      <c r="G108" s="285"/>
      <c r="H108" s="298"/>
      <c r="I108" s="298"/>
      <c r="J108" s="285"/>
      <c r="K108" s="298"/>
      <c r="L108" s="298">
        <v>0</v>
      </c>
    </row>
    <row r="109" spans="1:12">
      <c r="A109" s="284"/>
      <c r="B109" s="285"/>
      <c r="C109" s="286"/>
      <c r="D109" s="285">
        <v>0</v>
      </c>
      <c r="E109" s="286">
        <f t="shared" ref="E109:E120" si="54">IF(D109=0,0,F109/D109)</f>
        <v>0</v>
      </c>
      <c r="F109" s="286">
        <v>0</v>
      </c>
      <c r="G109" s="285">
        <v>0</v>
      </c>
      <c r="H109" s="298"/>
      <c r="I109" s="286">
        <f t="shared" ref="I109:I120" si="55">IF(F109=0,G109*H109,0)</f>
        <v>0</v>
      </c>
      <c r="J109" s="285">
        <f t="shared" ref="J109:J120" si="56">D109-G109+J108</f>
        <v>0</v>
      </c>
      <c r="K109" s="298">
        <f t="shared" ref="K109:K120" si="57">IF(J109=0,0,L109/J109)</f>
        <v>0</v>
      </c>
      <c r="L109" s="286">
        <f t="shared" ref="L109:L120" si="58">IF(F109=0,L108-I109,L108+F109)</f>
        <v>0</v>
      </c>
    </row>
    <row r="110" spans="1:12">
      <c r="A110" s="284"/>
      <c r="B110" s="285"/>
      <c r="C110" s="286"/>
      <c r="D110" s="285">
        <v>0</v>
      </c>
      <c r="E110" s="286">
        <f t="shared" si="54"/>
        <v>0</v>
      </c>
      <c r="F110" s="286">
        <v>0</v>
      </c>
      <c r="G110" s="285">
        <v>0</v>
      </c>
      <c r="H110" s="298">
        <f t="shared" ref="H110:H120" si="59">K109</f>
        <v>0</v>
      </c>
      <c r="I110" s="286">
        <f t="shared" si="55"/>
        <v>0</v>
      </c>
      <c r="J110" s="285">
        <f t="shared" si="56"/>
        <v>0</v>
      </c>
      <c r="K110" s="298">
        <f t="shared" si="57"/>
        <v>0</v>
      </c>
      <c r="L110" s="286">
        <f t="shared" si="58"/>
        <v>0</v>
      </c>
    </row>
    <row r="111" spans="1:12">
      <c r="A111" s="284"/>
      <c r="B111" s="285"/>
      <c r="C111" s="286"/>
      <c r="D111" s="285">
        <v>0</v>
      </c>
      <c r="E111" s="286">
        <f t="shared" si="54"/>
        <v>0</v>
      </c>
      <c r="F111" s="286">
        <v>0</v>
      </c>
      <c r="G111" s="285">
        <v>0</v>
      </c>
      <c r="H111" s="298">
        <f t="shared" si="59"/>
        <v>0</v>
      </c>
      <c r="I111" s="286">
        <f t="shared" si="55"/>
        <v>0</v>
      </c>
      <c r="J111" s="285">
        <f t="shared" si="56"/>
        <v>0</v>
      </c>
      <c r="K111" s="298">
        <f t="shared" si="57"/>
        <v>0</v>
      </c>
      <c r="L111" s="286">
        <f t="shared" si="58"/>
        <v>0</v>
      </c>
    </row>
    <row r="112" spans="1:12">
      <c r="A112" s="284"/>
      <c r="B112" s="285"/>
      <c r="C112" s="286"/>
      <c r="D112" s="285">
        <v>0</v>
      </c>
      <c r="E112" s="286">
        <f t="shared" si="54"/>
        <v>0</v>
      </c>
      <c r="F112" s="286">
        <v>0</v>
      </c>
      <c r="G112" s="285">
        <v>0</v>
      </c>
      <c r="H112" s="298">
        <f t="shared" si="59"/>
        <v>0</v>
      </c>
      <c r="I112" s="286">
        <f t="shared" si="55"/>
        <v>0</v>
      </c>
      <c r="J112" s="285">
        <f t="shared" si="56"/>
        <v>0</v>
      </c>
      <c r="K112" s="298">
        <f t="shared" si="57"/>
        <v>0</v>
      </c>
      <c r="L112" s="286">
        <f t="shared" si="58"/>
        <v>0</v>
      </c>
    </row>
    <row r="113" spans="1:12">
      <c r="A113" s="284"/>
      <c r="B113" s="285"/>
      <c r="C113" s="286"/>
      <c r="D113" s="285">
        <v>0</v>
      </c>
      <c r="E113" s="286">
        <f t="shared" si="54"/>
        <v>0</v>
      </c>
      <c r="F113" s="286">
        <v>0</v>
      </c>
      <c r="G113" s="285">
        <v>0</v>
      </c>
      <c r="H113" s="298">
        <f t="shared" si="59"/>
        <v>0</v>
      </c>
      <c r="I113" s="286">
        <f t="shared" si="55"/>
        <v>0</v>
      </c>
      <c r="J113" s="285">
        <f t="shared" si="56"/>
        <v>0</v>
      </c>
      <c r="K113" s="298">
        <f t="shared" si="57"/>
        <v>0</v>
      </c>
      <c r="L113" s="286">
        <f t="shared" si="58"/>
        <v>0</v>
      </c>
    </row>
    <row r="114" spans="1:12">
      <c r="A114" s="284"/>
      <c r="B114" s="285"/>
      <c r="C114" s="286"/>
      <c r="D114" s="285">
        <v>0</v>
      </c>
      <c r="E114" s="286">
        <f t="shared" si="54"/>
        <v>0</v>
      </c>
      <c r="F114" s="286">
        <v>0</v>
      </c>
      <c r="G114" s="285">
        <v>0</v>
      </c>
      <c r="H114" s="298">
        <f t="shared" si="59"/>
        <v>0</v>
      </c>
      <c r="I114" s="286">
        <f t="shared" si="55"/>
        <v>0</v>
      </c>
      <c r="J114" s="285">
        <f t="shared" si="56"/>
        <v>0</v>
      </c>
      <c r="K114" s="298">
        <f t="shared" si="57"/>
        <v>0</v>
      </c>
      <c r="L114" s="286">
        <f t="shared" si="58"/>
        <v>0</v>
      </c>
    </row>
    <row r="115" spans="1:12">
      <c r="A115" s="284"/>
      <c r="B115" s="285"/>
      <c r="C115" s="286"/>
      <c r="D115" s="285">
        <v>0</v>
      </c>
      <c r="E115" s="286">
        <f t="shared" si="54"/>
        <v>0</v>
      </c>
      <c r="F115" s="286">
        <v>0</v>
      </c>
      <c r="G115" s="285">
        <v>0</v>
      </c>
      <c r="H115" s="298">
        <f t="shared" si="59"/>
        <v>0</v>
      </c>
      <c r="I115" s="286">
        <f t="shared" si="55"/>
        <v>0</v>
      </c>
      <c r="J115" s="285">
        <f t="shared" si="56"/>
        <v>0</v>
      </c>
      <c r="K115" s="298">
        <f t="shared" si="57"/>
        <v>0</v>
      </c>
      <c r="L115" s="286">
        <f t="shared" si="58"/>
        <v>0</v>
      </c>
    </row>
    <row r="116" spans="1:12">
      <c r="A116" s="284"/>
      <c r="B116" s="285"/>
      <c r="C116" s="286"/>
      <c r="D116" s="285">
        <v>0</v>
      </c>
      <c r="E116" s="286">
        <f t="shared" si="54"/>
        <v>0</v>
      </c>
      <c r="F116" s="286">
        <v>0</v>
      </c>
      <c r="G116" s="285">
        <v>0</v>
      </c>
      <c r="H116" s="298">
        <f t="shared" si="59"/>
        <v>0</v>
      </c>
      <c r="I116" s="286">
        <f t="shared" si="55"/>
        <v>0</v>
      </c>
      <c r="J116" s="285">
        <f t="shared" si="56"/>
        <v>0</v>
      </c>
      <c r="K116" s="298">
        <f t="shared" si="57"/>
        <v>0</v>
      </c>
      <c r="L116" s="286">
        <f t="shared" si="58"/>
        <v>0</v>
      </c>
    </row>
    <row r="117" spans="1:12">
      <c r="A117" s="284"/>
      <c r="B117" s="285"/>
      <c r="C117" s="286"/>
      <c r="D117" s="285">
        <v>0</v>
      </c>
      <c r="E117" s="286">
        <f t="shared" si="54"/>
        <v>0</v>
      </c>
      <c r="F117" s="286">
        <v>0</v>
      </c>
      <c r="G117" s="285">
        <v>0</v>
      </c>
      <c r="H117" s="298">
        <f t="shared" si="59"/>
        <v>0</v>
      </c>
      <c r="I117" s="286">
        <f t="shared" si="55"/>
        <v>0</v>
      </c>
      <c r="J117" s="285">
        <f t="shared" si="56"/>
        <v>0</v>
      </c>
      <c r="K117" s="298">
        <f t="shared" si="57"/>
        <v>0</v>
      </c>
      <c r="L117" s="286">
        <f t="shared" si="58"/>
        <v>0</v>
      </c>
    </row>
    <row r="118" spans="1:12">
      <c r="A118" s="299"/>
      <c r="B118" s="285"/>
      <c r="C118" s="286"/>
      <c r="D118" s="285">
        <v>0</v>
      </c>
      <c r="E118" s="286">
        <f t="shared" si="54"/>
        <v>0</v>
      </c>
      <c r="F118" s="286">
        <v>0</v>
      </c>
      <c r="G118" s="285">
        <v>0</v>
      </c>
      <c r="H118" s="298">
        <f t="shared" si="59"/>
        <v>0</v>
      </c>
      <c r="I118" s="286">
        <f t="shared" si="55"/>
        <v>0</v>
      </c>
      <c r="J118" s="285">
        <f t="shared" si="56"/>
        <v>0</v>
      </c>
      <c r="K118" s="298">
        <f t="shared" si="57"/>
        <v>0</v>
      </c>
      <c r="L118" s="286">
        <f t="shared" si="58"/>
        <v>0</v>
      </c>
    </row>
    <row r="119" spans="1:12">
      <c r="A119" s="284"/>
      <c r="B119" s="285"/>
      <c r="C119" s="286"/>
      <c r="D119" s="285">
        <v>0</v>
      </c>
      <c r="E119" s="286">
        <f t="shared" si="54"/>
        <v>0</v>
      </c>
      <c r="F119" s="286">
        <v>0</v>
      </c>
      <c r="G119" s="285">
        <v>0</v>
      </c>
      <c r="H119" s="298">
        <f t="shared" si="59"/>
        <v>0</v>
      </c>
      <c r="I119" s="286">
        <f t="shared" si="55"/>
        <v>0</v>
      </c>
      <c r="J119" s="285">
        <f t="shared" si="56"/>
        <v>0</v>
      </c>
      <c r="K119" s="298">
        <f t="shared" si="57"/>
        <v>0</v>
      </c>
      <c r="L119" s="286">
        <f t="shared" si="58"/>
        <v>0</v>
      </c>
    </row>
    <row r="120" spans="1:12">
      <c r="A120" s="284"/>
      <c r="B120" s="285"/>
      <c r="C120" s="286"/>
      <c r="D120" s="285">
        <v>0</v>
      </c>
      <c r="E120" s="286">
        <f t="shared" si="54"/>
        <v>0</v>
      </c>
      <c r="F120" s="286">
        <v>0</v>
      </c>
      <c r="G120" s="285">
        <v>0</v>
      </c>
      <c r="H120" s="298">
        <f t="shared" si="59"/>
        <v>0</v>
      </c>
      <c r="I120" s="286">
        <f t="shared" si="55"/>
        <v>0</v>
      </c>
      <c r="J120" s="285">
        <f t="shared" si="56"/>
        <v>0</v>
      </c>
      <c r="K120" s="298">
        <f t="shared" si="57"/>
        <v>0</v>
      </c>
      <c r="L120" s="286">
        <f t="shared" si="58"/>
        <v>0</v>
      </c>
    </row>
    <row r="121" ht="13.5" spans="1:12">
      <c r="A121" s="284"/>
      <c r="B121" s="285"/>
      <c r="C121" s="286"/>
      <c r="D121" s="285"/>
      <c r="E121" s="286"/>
      <c r="F121" s="300" t="s">
        <v>133</v>
      </c>
      <c r="G121" s="301">
        <f>SUM(F109:F120)</f>
        <v>0</v>
      </c>
      <c r="H121" s="300" t="s">
        <v>134</v>
      </c>
      <c r="I121" s="302">
        <f>SUM(I109:I120)</f>
        <v>0</v>
      </c>
      <c r="J121" s="285"/>
      <c r="K121" s="300" t="s">
        <v>131</v>
      </c>
      <c r="L121" s="286">
        <f>L120</f>
        <v>0</v>
      </c>
    </row>
    <row r="124" ht="15.75" spans="1:12">
      <c r="A124" s="283" t="s">
        <v>116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</row>
    <row r="125" ht="12.75" spans="1:12">
      <c r="A125" s="284" t="s">
        <v>117</v>
      </c>
      <c r="B125" s="285"/>
      <c r="C125" s="286"/>
      <c r="D125" s="285"/>
      <c r="E125" s="286"/>
      <c r="F125" s="286"/>
      <c r="G125" s="285"/>
      <c r="H125" s="286"/>
      <c r="I125" s="287" t="s">
        <v>135</v>
      </c>
      <c r="J125" s="288"/>
      <c r="K125" s="288"/>
    </row>
    <row r="126" ht="13.5" spans="1:12">
      <c r="A126" s="289" t="s">
        <v>119</v>
      </c>
      <c r="B126" s="290" t="s">
        <v>120</v>
      </c>
      <c r="C126" s="290"/>
      <c r="D126" s="291" t="s">
        <v>121</v>
      </c>
      <c r="E126" s="291"/>
      <c r="F126" s="291"/>
      <c r="G126" s="292" t="s">
        <v>122</v>
      </c>
      <c r="H126" s="292"/>
      <c r="I126" s="292"/>
      <c r="J126" s="293" t="s">
        <v>123</v>
      </c>
      <c r="K126" s="293"/>
      <c r="L126" s="293"/>
    </row>
    <row r="127" ht="13.5" spans="1:12">
      <c r="A127" s="289"/>
      <c r="B127" s="290" t="s">
        <v>124</v>
      </c>
      <c r="C127" s="294" t="s">
        <v>125</v>
      </c>
      <c r="D127" s="290" t="s">
        <v>124</v>
      </c>
      <c r="E127" s="294" t="s">
        <v>126</v>
      </c>
      <c r="F127" s="294" t="s">
        <v>127</v>
      </c>
      <c r="G127" s="290" t="s">
        <v>124</v>
      </c>
      <c r="H127" s="295" t="s">
        <v>128</v>
      </c>
      <c r="I127" s="294" t="s">
        <v>129</v>
      </c>
      <c r="J127" s="290" t="s">
        <v>130</v>
      </c>
      <c r="K127" s="296" t="s">
        <v>128</v>
      </c>
      <c r="L127" s="294" t="s">
        <v>131</v>
      </c>
    </row>
    <row r="128" ht="12.75" spans="1:12">
      <c r="A128" s="304" t="s">
        <v>151</v>
      </c>
      <c r="B128" s="285"/>
      <c r="C128" s="286">
        <f>20*B128</f>
        <v>0</v>
      </c>
      <c r="D128" s="285"/>
      <c r="E128" s="286"/>
      <c r="F128" s="286"/>
      <c r="G128" s="285"/>
      <c r="H128" s="298"/>
      <c r="I128" s="298"/>
      <c r="J128" s="285"/>
      <c r="K128" s="298"/>
      <c r="L128" s="298">
        <v>0</v>
      </c>
    </row>
    <row r="129" spans="1:12">
      <c r="A129" s="284"/>
      <c r="B129" s="285"/>
      <c r="C129" s="286"/>
      <c r="D129" s="285">
        <v>0</v>
      </c>
      <c r="E129" s="286">
        <f t="shared" ref="E129:E140" si="60">IF(D129=0,0,F129/D129)</f>
        <v>0</v>
      </c>
      <c r="F129" s="286">
        <v>0</v>
      </c>
      <c r="G129" s="285">
        <v>0</v>
      </c>
      <c r="H129" s="298"/>
      <c r="I129" s="286">
        <f t="shared" ref="I129:I140" si="61">IF(F129=0,G129*H129,0)</f>
        <v>0</v>
      </c>
      <c r="J129" s="285">
        <f t="shared" ref="J129:J140" si="62">D129-G129+J128</f>
        <v>0</v>
      </c>
      <c r="K129" s="298">
        <f t="shared" ref="K129:K140" si="63">IF(J129=0,0,L129/J129)</f>
        <v>0</v>
      </c>
      <c r="L129" s="286">
        <f t="shared" ref="L129:L140" si="64">IF(F129=0,L128-I129,L128+F129)</f>
        <v>0</v>
      </c>
    </row>
    <row r="130" spans="1:12">
      <c r="A130" s="284"/>
      <c r="B130" s="285"/>
      <c r="C130" s="286"/>
      <c r="D130" s="285">
        <v>0</v>
      </c>
      <c r="E130" s="286">
        <f t="shared" si="60"/>
        <v>0</v>
      </c>
      <c r="F130" s="286">
        <v>0</v>
      </c>
      <c r="G130" s="285">
        <v>0</v>
      </c>
      <c r="H130" s="298">
        <f t="shared" ref="H130:H140" si="65">K129</f>
        <v>0</v>
      </c>
      <c r="I130" s="286">
        <f t="shared" si="61"/>
        <v>0</v>
      </c>
      <c r="J130" s="285">
        <f t="shared" si="62"/>
        <v>0</v>
      </c>
      <c r="K130" s="298">
        <f t="shared" si="63"/>
        <v>0</v>
      </c>
      <c r="L130" s="286">
        <f t="shared" si="64"/>
        <v>0</v>
      </c>
    </row>
    <row r="131" spans="1:12">
      <c r="A131" s="284"/>
      <c r="B131" s="285"/>
      <c r="C131" s="286"/>
      <c r="D131" s="285">
        <v>0</v>
      </c>
      <c r="E131" s="286">
        <f t="shared" si="60"/>
        <v>0</v>
      </c>
      <c r="F131" s="286">
        <v>0</v>
      </c>
      <c r="G131" s="285">
        <v>0</v>
      </c>
      <c r="H131" s="298">
        <f t="shared" si="65"/>
        <v>0</v>
      </c>
      <c r="I131" s="286">
        <f t="shared" si="61"/>
        <v>0</v>
      </c>
      <c r="J131" s="285">
        <f t="shared" si="62"/>
        <v>0</v>
      </c>
      <c r="K131" s="298">
        <f t="shared" si="63"/>
        <v>0</v>
      </c>
      <c r="L131" s="286">
        <f t="shared" si="64"/>
        <v>0</v>
      </c>
    </row>
    <row r="132" spans="1:12">
      <c r="A132" s="284"/>
      <c r="B132" s="285"/>
      <c r="C132" s="286"/>
      <c r="D132" s="285">
        <v>0</v>
      </c>
      <c r="E132" s="286">
        <f t="shared" si="60"/>
        <v>0</v>
      </c>
      <c r="F132" s="286">
        <v>0</v>
      </c>
      <c r="G132" s="285">
        <v>0</v>
      </c>
      <c r="H132" s="298">
        <f t="shared" si="65"/>
        <v>0</v>
      </c>
      <c r="I132" s="286">
        <f t="shared" si="61"/>
        <v>0</v>
      </c>
      <c r="J132" s="285">
        <f t="shared" si="62"/>
        <v>0</v>
      </c>
      <c r="K132" s="298">
        <f t="shared" si="63"/>
        <v>0</v>
      </c>
      <c r="L132" s="286">
        <f t="shared" si="64"/>
        <v>0</v>
      </c>
    </row>
    <row r="133" spans="1:12">
      <c r="A133" s="284"/>
      <c r="B133" s="285"/>
      <c r="C133" s="286"/>
      <c r="D133" s="285">
        <v>0</v>
      </c>
      <c r="E133" s="286">
        <f t="shared" si="60"/>
        <v>0</v>
      </c>
      <c r="F133" s="286">
        <v>0</v>
      </c>
      <c r="G133" s="285">
        <v>0</v>
      </c>
      <c r="H133" s="298">
        <f t="shared" si="65"/>
        <v>0</v>
      </c>
      <c r="I133" s="286">
        <f t="shared" si="61"/>
        <v>0</v>
      </c>
      <c r="J133" s="285">
        <f t="shared" si="62"/>
        <v>0</v>
      </c>
      <c r="K133" s="298">
        <f t="shared" si="63"/>
        <v>0</v>
      </c>
      <c r="L133" s="286">
        <f t="shared" si="64"/>
        <v>0</v>
      </c>
    </row>
    <row r="134" spans="1:12">
      <c r="A134" s="284"/>
      <c r="B134" s="285"/>
      <c r="C134" s="286"/>
      <c r="D134" s="285">
        <v>0</v>
      </c>
      <c r="E134" s="286">
        <f t="shared" si="60"/>
        <v>0</v>
      </c>
      <c r="F134" s="286">
        <v>0</v>
      </c>
      <c r="G134" s="285">
        <v>0</v>
      </c>
      <c r="H134" s="298">
        <f t="shared" si="65"/>
        <v>0</v>
      </c>
      <c r="I134" s="286">
        <f t="shared" si="61"/>
        <v>0</v>
      </c>
      <c r="J134" s="285">
        <f t="shared" si="62"/>
        <v>0</v>
      </c>
      <c r="K134" s="298">
        <f t="shared" si="63"/>
        <v>0</v>
      </c>
      <c r="L134" s="286">
        <f t="shared" si="64"/>
        <v>0</v>
      </c>
    </row>
    <row r="135" spans="1:12">
      <c r="A135" s="284"/>
      <c r="B135" s="285"/>
      <c r="C135" s="286"/>
      <c r="D135" s="285">
        <v>0</v>
      </c>
      <c r="E135" s="286">
        <f t="shared" si="60"/>
        <v>0</v>
      </c>
      <c r="F135" s="286">
        <v>0</v>
      </c>
      <c r="G135" s="285">
        <v>0</v>
      </c>
      <c r="H135" s="298">
        <f t="shared" si="65"/>
        <v>0</v>
      </c>
      <c r="I135" s="286">
        <f t="shared" si="61"/>
        <v>0</v>
      </c>
      <c r="J135" s="285">
        <f t="shared" si="62"/>
        <v>0</v>
      </c>
      <c r="K135" s="298">
        <f t="shared" si="63"/>
        <v>0</v>
      </c>
      <c r="L135" s="286">
        <f t="shared" si="64"/>
        <v>0</v>
      </c>
    </row>
    <row r="136" spans="1:12">
      <c r="A136" s="284"/>
      <c r="B136" s="285"/>
      <c r="C136" s="286"/>
      <c r="D136" s="285">
        <v>0</v>
      </c>
      <c r="E136" s="286">
        <f t="shared" si="60"/>
        <v>0</v>
      </c>
      <c r="F136" s="286">
        <v>0</v>
      </c>
      <c r="G136" s="285">
        <v>0</v>
      </c>
      <c r="H136" s="298">
        <f t="shared" si="65"/>
        <v>0</v>
      </c>
      <c r="I136" s="286">
        <f t="shared" si="61"/>
        <v>0</v>
      </c>
      <c r="J136" s="285">
        <f t="shared" si="62"/>
        <v>0</v>
      </c>
      <c r="K136" s="298">
        <f t="shared" si="63"/>
        <v>0</v>
      </c>
      <c r="L136" s="286">
        <f t="shared" si="64"/>
        <v>0</v>
      </c>
    </row>
    <row r="137" spans="1:12">
      <c r="A137" s="284"/>
      <c r="B137" s="285"/>
      <c r="C137" s="286"/>
      <c r="D137" s="285">
        <v>0</v>
      </c>
      <c r="E137" s="286">
        <f t="shared" si="60"/>
        <v>0</v>
      </c>
      <c r="F137" s="286">
        <v>0</v>
      </c>
      <c r="G137" s="285">
        <v>0</v>
      </c>
      <c r="H137" s="298">
        <f t="shared" si="65"/>
        <v>0</v>
      </c>
      <c r="I137" s="286">
        <f t="shared" si="61"/>
        <v>0</v>
      </c>
      <c r="J137" s="285">
        <f t="shared" si="62"/>
        <v>0</v>
      </c>
      <c r="K137" s="298">
        <f t="shared" si="63"/>
        <v>0</v>
      </c>
      <c r="L137" s="286">
        <f t="shared" si="64"/>
        <v>0</v>
      </c>
    </row>
    <row r="138" spans="1:12">
      <c r="A138" s="299"/>
      <c r="B138" s="285"/>
      <c r="C138" s="286"/>
      <c r="D138" s="285">
        <v>0</v>
      </c>
      <c r="E138" s="286">
        <f t="shared" si="60"/>
        <v>0</v>
      </c>
      <c r="F138" s="286">
        <v>0</v>
      </c>
      <c r="G138" s="285">
        <v>0</v>
      </c>
      <c r="H138" s="298">
        <f t="shared" si="65"/>
        <v>0</v>
      </c>
      <c r="I138" s="286">
        <f t="shared" si="61"/>
        <v>0</v>
      </c>
      <c r="J138" s="285">
        <f t="shared" si="62"/>
        <v>0</v>
      </c>
      <c r="K138" s="298">
        <f t="shared" si="63"/>
        <v>0</v>
      </c>
      <c r="L138" s="286">
        <f t="shared" si="64"/>
        <v>0</v>
      </c>
    </row>
    <row r="139" spans="1:12">
      <c r="A139" s="284"/>
      <c r="B139" s="285"/>
      <c r="C139" s="286"/>
      <c r="D139" s="285">
        <v>0</v>
      </c>
      <c r="E139" s="286">
        <f t="shared" si="60"/>
        <v>0</v>
      </c>
      <c r="F139" s="286">
        <v>0</v>
      </c>
      <c r="G139" s="285">
        <v>0</v>
      </c>
      <c r="H139" s="298">
        <f t="shared" si="65"/>
        <v>0</v>
      </c>
      <c r="I139" s="286">
        <f t="shared" si="61"/>
        <v>0</v>
      </c>
      <c r="J139" s="285">
        <f t="shared" si="62"/>
        <v>0</v>
      </c>
      <c r="K139" s="298">
        <f t="shared" si="63"/>
        <v>0</v>
      </c>
      <c r="L139" s="286">
        <f t="shared" si="64"/>
        <v>0</v>
      </c>
    </row>
    <row r="140" spans="1:12">
      <c r="A140" s="284"/>
      <c r="B140" s="285"/>
      <c r="C140" s="286"/>
      <c r="D140" s="285">
        <v>0</v>
      </c>
      <c r="E140" s="286">
        <f t="shared" si="60"/>
        <v>0</v>
      </c>
      <c r="F140" s="286">
        <v>0</v>
      </c>
      <c r="G140" s="285">
        <v>0</v>
      </c>
      <c r="H140" s="298">
        <f t="shared" si="65"/>
        <v>0</v>
      </c>
      <c r="I140" s="286">
        <f t="shared" si="61"/>
        <v>0</v>
      </c>
      <c r="J140" s="285">
        <f t="shared" si="62"/>
        <v>0</v>
      </c>
      <c r="K140" s="298">
        <f t="shared" si="63"/>
        <v>0</v>
      </c>
      <c r="L140" s="286">
        <f t="shared" si="64"/>
        <v>0</v>
      </c>
    </row>
    <row r="141" ht="13.5" spans="1:12">
      <c r="A141" s="284"/>
      <c r="B141" s="285"/>
      <c r="C141" s="286"/>
      <c r="D141" s="285"/>
      <c r="E141" s="286"/>
      <c r="F141" s="300" t="s">
        <v>133</v>
      </c>
      <c r="G141" s="301">
        <f>SUM(F129:F140)</f>
        <v>0</v>
      </c>
      <c r="H141" s="300" t="s">
        <v>134</v>
      </c>
      <c r="I141" s="302">
        <f>SUM(I129:I140)</f>
        <v>0</v>
      </c>
      <c r="J141" s="285"/>
      <c r="K141" s="300" t="s">
        <v>131</v>
      </c>
      <c r="L141" s="286">
        <f>L140</f>
        <v>0</v>
      </c>
    </row>
    <row r="144" ht="15.75" spans="1:12">
      <c r="A144" s="283" t="s">
        <v>116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</row>
    <row r="145" ht="12.75" spans="1:12">
      <c r="A145" s="284" t="s">
        <v>117</v>
      </c>
      <c r="B145" s="285"/>
      <c r="C145" s="286"/>
      <c r="D145" s="285"/>
      <c r="E145" s="286"/>
      <c r="F145" s="286"/>
      <c r="G145" s="285"/>
      <c r="H145" s="286"/>
      <c r="I145" s="287" t="s">
        <v>135</v>
      </c>
      <c r="J145" s="288"/>
      <c r="K145" s="288"/>
    </row>
    <row r="146" ht="13.5" spans="1:12">
      <c r="A146" s="289" t="s">
        <v>119</v>
      </c>
      <c r="B146" s="290" t="s">
        <v>120</v>
      </c>
      <c r="C146" s="290"/>
      <c r="D146" s="291" t="s">
        <v>121</v>
      </c>
      <c r="E146" s="291"/>
      <c r="F146" s="291"/>
      <c r="G146" s="292" t="s">
        <v>122</v>
      </c>
      <c r="H146" s="292"/>
      <c r="I146" s="292"/>
      <c r="J146" s="293" t="s">
        <v>123</v>
      </c>
      <c r="K146" s="293"/>
      <c r="L146" s="293"/>
    </row>
    <row r="147" ht="13.5" spans="1:12">
      <c r="A147" s="289"/>
      <c r="B147" s="290" t="s">
        <v>124</v>
      </c>
      <c r="C147" s="294" t="s">
        <v>125</v>
      </c>
      <c r="D147" s="290" t="s">
        <v>124</v>
      </c>
      <c r="E147" s="294" t="s">
        <v>126</v>
      </c>
      <c r="F147" s="294" t="s">
        <v>127</v>
      </c>
      <c r="G147" s="290" t="s">
        <v>124</v>
      </c>
      <c r="H147" s="295" t="s">
        <v>128</v>
      </c>
      <c r="I147" s="294" t="s">
        <v>129</v>
      </c>
      <c r="J147" s="290" t="s">
        <v>130</v>
      </c>
      <c r="K147" s="296" t="s">
        <v>128</v>
      </c>
      <c r="L147" s="294" t="s">
        <v>131</v>
      </c>
    </row>
    <row r="148" ht="12.75" spans="1:12">
      <c r="A148" s="304" t="s">
        <v>152</v>
      </c>
      <c r="B148" s="285"/>
      <c r="C148" s="286">
        <f>20*B148</f>
        <v>0</v>
      </c>
      <c r="D148" s="285"/>
      <c r="E148" s="286"/>
      <c r="F148" s="286"/>
      <c r="G148" s="285"/>
      <c r="H148" s="298"/>
      <c r="I148" s="298"/>
      <c r="J148" s="285"/>
      <c r="K148" s="298"/>
      <c r="L148" s="298">
        <v>0</v>
      </c>
    </row>
    <row r="149" spans="1:12">
      <c r="A149" s="284"/>
      <c r="B149" s="285"/>
      <c r="C149" s="286"/>
      <c r="D149" s="285">
        <v>0</v>
      </c>
      <c r="E149" s="286">
        <f t="shared" ref="E149:E160" si="66">IF(D149=0,0,F149/D149)</f>
        <v>0</v>
      </c>
      <c r="F149" s="286">
        <v>0</v>
      </c>
      <c r="G149" s="285">
        <v>0</v>
      </c>
      <c r="H149" s="298"/>
      <c r="I149" s="286">
        <f t="shared" ref="I149:I160" si="67">IF(F149=0,G149*H149,0)</f>
        <v>0</v>
      </c>
      <c r="J149" s="285">
        <f t="shared" ref="J149:J160" si="68">D149-G149+J148</f>
        <v>0</v>
      </c>
      <c r="K149" s="298">
        <f t="shared" ref="K149:K160" si="69">IF(J149=0,0,L149/J149)</f>
        <v>0</v>
      </c>
      <c r="L149" s="286">
        <f t="shared" ref="L149:L160" si="70">IF(F149=0,L148-I149,L148+F149)</f>
        <v>0</v>
      </c>
    </row>
    <row r="150" spans="1:12">
      <c r="A150" s="284"/>
      <c r="B150" s="285"/>
      <c r="C150" s="286"/>
      <c r="D150" s="285">
        <v>0</v>
      </c>
      <c r="E150" s="286">
        <f t="shared" si="66"/>
        <v>0</v>
      </c>
      <c r="F150" s="286">
        <v>0</v>
      </c>
      <c r="G150" s="285">
        <v>0</v>
      </c>
      <c r="H150" s="298">
        <f t="shared" ref="H150:H160" si="71">K149</f>
        <v>0</v>
      </c>
      <c r="I150" s="286">
        <f t="shared" si="67"/>
        <v>0</v>
      </c>
      <c r="J150" s="285">
        <f t="shared" si="68"/>
        <v>0</v>
      </c>
      <c r="K150" s="298">
        <f t="shared" si="69"/>
        <v>0</v>
      </c>
      <c r="L150" s="286">
        <f t="shared" si="70"/>
        <v>0</v>
      </c>
    </row>
    <row r="151" spans="1:12">
      <c r="A151" s="284"/>
      <c r="B151" s="285"/>
      <c r="C151" s="286"/>
      <c r="D151" s="285">
        <v>0</v>
      </c>
      <c r="E151" s="286">
        <f t="shared" si="66"/>
        <v>0</v>
      </c>
      <c r="F151" s="286">
        <v>0</v>
      </c>
      <c r="G151" s="285">
        <v>0</v>
      </c>
      <c r="H151" s="298">
        <f t="shared" si="71"/>
        <v>0</v>
      </c>
      <c r="I151" s="286">
        <f t="shared" si="67"/>
        <v>0</v>
      </c>
      <c r="J151" s="285">
        <f t="shared" si="68"/>
        <v>0</v>
      </c>
      <c r="K151" s="298">
        <f t="shared" si="69"/>
        <v>0</v>
      </c>
      <c r="L151" s="286">
        <f t="shared" si="70"/>
        <v>0</v>
      </c>
    </row>
    <row r="152" spans="1:12">
      <c r="A152" s="284"/>
      <c r="B152" s="285"/>
      <c r="C152" s="286"/>
      <c r="D152" s="285">
        <v>0</v>
      </c>
      <c r="E152" s="286">
        <f t="shared" si="66"/>
        <v>0</v>
      </c>
      <c r="F152" s="286">
        <v>0</v>
      </c>
      <c r="G152" s="285">
        <v>0</v>
      </c>
      <c r="H152" s="298">
        <f t="shared" si="71"/>
        <v>0</v>
      </c>
      <c r="I152" s="286">
        <f t="shared" si="67"/>
        <v>0</v>
      </c>
      <c r="J152" s="285">
        <f t="shared" si="68"/>
        <v>0</v>
      </c>
      <c r="K152" s="298">
        <f t="shared" si="69"/>
        <v>0</v>
      </c>
      <c r="L152" s="286">
        <f t="shared" si="70"/>
        <v>0</v>
      </c>
    </row>
    <row r="153" spans="1:12">
      <c r="A153" s="284"/>
      <c r="B153" s="285"/>
      <c r="C153" s="286"/>
      <c r="D153" s="285">
        <v>0</v>
      </c>
      <c r="E153" s="286">
        <f t="shared" si="66"/>
        <v>0</v>
      </c>
      <c r="F153" s="286">
        <v>0</v>
      </c>
      <c r="G153" s="285">
        <v>0</v>
      </c>
      <c r="H153" s="298">
        <f t="shared" si="71"/>
        <v>0</v>
      </c>
      <c r="I153" s="286">
        <f t="shared" si="67"/>
        <v>0</v>
      </c>
      <c r="J153" s="285">
        <f t="shared" si="68"/>
        <v>0</v>
      </c>
      <c r="K153" s="298">
        <f t="shared" si="69"/>
        <v>0</v>
      </c>
      <c r="L153" s="286">
        <f t="shared" si="70"/>
        <v>0</v>
      </c>
    </row>
    <row r="154" spans="1:12">
      <c r="A154" s="284"/>
      <c r="B154" s="285"/>
      <c r="C154" s="286"/>
      <c r="D154" s="285">
        <v>0</v>
      </c>
      <c r="E154" s="286">
        <f t="shared" si="66"/>
        <v>0</v>
      </c>
      <c r="F154" s="286">
        <v>0</v>
      </c>
      <c r="G154" s="285">
        <v>0</v>
      </c>
      <c r="H154" s="298">
        <f t="shared" si="71"/>
        <v>0</v>
      </c>
      <c r="I154" s="286">
        <f t="shared" si="67"/>
        <v>0</v>
      </c>
      <c r="J154" s="285">
        <f t="shared" si="68"/>
        <v>0</v>
      </c>
      <c r="K154" s="298">
        <f t="shared" si="69"/>
        <v>0</v>
      </c>
      <c r="L154" s="286">
        <f t="shared" si="70"/>
        <v>0</v>
      </c>
    </row>
    <row r="155" spans="1:12">
      <c r="A155" s="284"/>
      <c r="B155" s="285"/>
      <c r="C155" s="286"/>
      <c r="D155" s="285">
        <v>0</v>
      </c>
      <c r="E155" s="286">
        <f t="shared" si="66"/>
        <v>0</v>
      </c>
      <c r="F155" s="286">
        <v>0</v>
      </c>
      <c r="G155" s="285">
        <v>0</v>
      </c>
      <c r="H155" s="298">
        <f t="shared" si="71"/>
        <v>0</v>
      </c>
      <c r="I155" s="286">
        <f t="shared" si="67"/>
        <v>0</v>
      </c>
      <c r="J155" s="285">
        <f t="shared" si="68"/>
        <v>0</v>
      </c>
      <c r="K155" s="298">
        <f t="shared" si="69"/>
        <v>0</v>
      </c>
      <c r="L155" s="286">
        <f t="shared" si="70"/>
        <v>0</v>
      </c>
    </row>
    <row r="156" spans="1:12">
      <c r="A156" s="284"/>
      <c r="B156" s="285"/>
      <c r="C156" s="286"/>
      <c r="D156" s="285">
        <v>0</v>
      </c>
      <c r="E156" s="286">
        <f t="shared" si="66"/>
        <v>0</v>
      </c>
      <c r="F156" s="286">
        <v>0</v>
      </c>
      <c r="G156" s="285">
        <v>0</v>
      </c>
      <c r="H156" s="298">
        <f t="shared" si="71"/>
        <v>0</v>
      </c>
      <c r="I156" s="286">
        <f t="shared" si="67"/>
        <v>0</v>
      </c>
      <c r="J156" s="285">
        <f t="shared" si="68"/>
        <v>0</v>
      </c>
      <c r="K156" s="298">
        <f t="shared" si="69"/>
        <v>0</v>
      </c>
      <c r="L156" s="286">
        <f t="shared" si="70"/>
        <v>0</v>
      </c>
    </row>
    <row r="157" spans="1:12">
      <c r="A157" s="284"/>
      <c r="B157" s="285"/>
      <c r="C157" s="286"/>
      <c r="D157" s="285">
        <v>0</v>
      </c>
      <c r="E157" s="286">
        <f t="shared" si="66"/>
        <v>0</v>
      </c>
      <c r="F157" s="286">
        <v>0</v>
      </c>
      <c r="G157" s="285">
        <v>0</v>
      </c>
      <c r="H157" s="298">
        <f t="shared" si="71"/>
        <v>0</v>
      </c>
      <c r="I157" s="286">
        <f t="shared" si="67"/>
        <v>0</v>
      </c>
      <c r="J157" s="285">
        <f t="shared" si="68"/>
        <v>0</v>
      </c>
      <c r="K157" s="298">
        <f t="shared" si="69"/>
        <v>0</v>
      </c>
      <c r="L157" s="286">
        <f t="shared" si="70"/>
        <v>0</v>
      </c>
    </row>
    <row r="158" spans="1:12">
      <c r="A158" s="299"/>
      <c r="B158" s="285"/>
      <c r="C158" s="286"/>
      <c r="D158" s="285">
        <v>0</v>
      </c>
      <c r="E158" s="286">
        <f t="shared" si="66"/>
        <v>0</v>
      </c>
      <c r="F158" s="286">
        <v>0</v>
      </c>
      <c r="G158" s="285">
        <v>0</v>
      </c>
      <c r="H158" s="298">
        <f t="shared" si="71"/>
        <v>0</v>
      </c>
      <c r="I158" s="286">
        <f t="shared" si="67"/>
        <v>0</v>
      </c>
      <c r="J158" s="285">
        <f t="shared" si="68"/>
        <v>0</v>
      </c>
      <c r="K158" s="298">
        <f t="shared" si="69"/>
        <v>0</v>
      </c>
      <c r="L158" s="286">
        <f t="shared" si="70"/>
        <v>0</v>
      </c>
    </row>
    <row r="159" spans="1:12">
      <c r="A159" s="284"/>
      <c r="B159" s="285"/>
      <c r="C159" s="286"/>
      <c r="D159" s="285">
        <v>0</v>
      </c>
      <c r="E159" s="286">
        <f t="shared" si="66"/>
        <v>0</v>
      </c>
      <c r="F159" s="286">
        <v>0</v>
      </c>
      <c r="G159" s="285">
        <v>0</v>
      </c>
      <c r="H159" s="298">
        <f t="shared" si="71"/>
        <v>0</v>
      </c>
      <c r="I159" s="286">
        <f t="shared" si="67"/>
        <v>0</v>
      </c>
      <c r="J159" s="285">
        <f t="shared" si="68"/>
        <v>0</v>
      </c>
      <c r="K159" s="298">
        <f t="shared" si="69"/>
        <v>0</v>
      </c>
      <c r="L159" s="286">
        <f t="shared" si="70"/>
        <v>0</v>
      </c>
    </row>
    <row r="160" spans="1:12">
      <c r="A160" s="284"/>
      <c r="B160" s="285"/>
      <c r="C160" s="286"/>
      <c r="D160" s="285">
        <v>0</v>
      </c>
      <c r="E160" s="286">
        <f t="shared" si="66"/>
        <v>0</v>
      </c>
      <c r="F160" s="286">
        <v>0</v>
      </c>
      <c r="G160" s="285">
        <v>0</v>
      </c>
      <c r="H160" s="298">
        <f t="shared" si="71"/>
        <v>0</v>
      </c>
      <c r="I160" s="286">
        <f t="shared" si="67"/>
        <v>0</v>
      </c>
      <c r="J160" s="285">
        <f t="shared" si="68"/>
        <v>0</v>
      </c>
      <c r="K160" s="298">
        <f t="shared" si="69"/>
        <v>0</v>
      </c>
      <c r="L160" s="286">
        <f t="shared" si="70"/>
        <v>0</v>
      </c>
    </row>
    <row r="161" ht="13.5" spans="1:12">
      <c r="A161" s="284"/>
      <c r="B161" s="285"/>
      <c r="C161" s="286"/>
      <c r="D161" s="285"/>
      <c r="E161" s="286"/>
      <c r="F161" s="300" t="s">
        <v>133</v>
      </c>
      <c r="G161" s="301">
        <f>SUM(F149:F160)</f>
        <v>0</v>
      </c>
      <c r="H161" s="300" t="s">
        <v>134</v>
      </c>
      <c r="I161" s="302">
        <f>SUM(I149:I160)</f>
        <v>0</v>
      </c>
      <c r="J161" s="285"/>
      <c r="K161" s="300" t="s">
        <v>131</v>
      </c>
      <c r="L161" s="286">
        <f>L160</f>
        <v>0</v>
      </c>
    </row>
    <row r="164" ht="15.75" spans="1:12">
      <c r="A164" s="283" t="s">
        <v>116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</row>
    <row r="165" ht="12.75" spans="1:12">
      <c r="A165" s="284" t="s">
        <v>117</v>
      </c>
      <c r="B165" s="285"/>
      <c r="C165" s="286"/>
      <c r="D165" s="285"/>
      <c r="E165" s="286"/>
      <c r="F165" s="286"/>
      <c r="G165" s="285"/>
      <c r="H165" s="286"/>
      <c r="I165" s="287" t="s">
        <v>135</v>
      </c>
      <c r="J165" s="288"/>
      <c r="K165" s="288"/>
    </row>
    <row r="166" ht="13.5" spans="1:12">
      <c r="A166" s="289" t="s">
        <v>119</v>
      </c>
      <c r="B166" s="290" t="s">
        <v>120</v>
      </c>
      <c r="C166" s="290"/>
      <c r="D166" s="291" t="s">
        <v>121</v>
      </c>
      <c r="E166" s="291"/>
      <c r="F166" s="291"/>
      <c r="G166" s="292" t="s">
        <v>122</v>
      </c>
      <c r="H166" s="292"/>
      <c r="I166" s="292"/>
      <c r="J166" s="293" t="s">
        <v>123</v>
      </c>
      <c r="K166" s="293"/>
      <c r="L166" s="293"/>
    </row>
    <row r="167" ht="13.5" spans="1:12">
      <c r="A167" s="289"/>
      <c r="B167" s="290" t="s">
        <v>124</v>
      </c>
      <c r="C167" s="294" t="s">
        <v>125</v>
      </c>
      <c r="D167" s="290" t="s">
        <v>124</v>
      </c>
      <c r="E167" s="294" t="s">
        <v>126</v>
      </c>
      <c r="F167" s="294" t="s">
        <v>127</v>
      </c>
      <c r="G167" s="290" t="s">
        <v>124</v>
      </c>
      <c r="H167" s="295" t="s">
        <v>128</v>
      </c>
      <c r="I167" s="294" t="s">
        <v>129</v>
      </c>
      <c r="J167" s="290" t="s">
        <v>130</v>
      </c>
      <c r="K167" s="296" t="s">
        <v>128</v>
      </c>
      <c r="L167" s="294" t="s">
        <v>131</v>
      </c>
    </row>
    <row r="168" ht="12.75" spans="1:12">
      <c r="A168" s="304" t="s">
        <v>153</v>
      </c>
      <c r="B168" s="285"/>
      <c r="C168" s="286">
        <f>20*B168</f>
        <v>0</v>
      </c>
      <c r="D168" s="285"/>
      <c r="E168" s="286"/>
      <c r="F168" s="286"/>
      <c r="G168" s="285"/>
      <c r="H168" s="298"/>
      <c r="I168" s="298"/>
      <c r="J168" s="285"/>
      <c r="K168" s="298"/>
      <c r="L168" s="298">
        <v>0</v>
      </c>
    </row>
    <row r="169" spans="1:12">
      <c r="A169" s="284"/>
      <c r="B169" s="285"/>
      <c r="C169" s="286"/>
      <c r="D169" s="285">
        <v>0</v>
      </c>
      <c r="E169" s="286">
        <f t="shared" ref="E169:E180" si="72">IF(D169=0,0,F169/D169)</f>
        <v>0</v>
      </c>
      <c r="F169" s="286">
        <v>0</v>
      </c>
      <c r="G169" s="285">
        <v>0</v>
      </c>
      <c r="H169" s="298"/>
      <c r="I169" s="286">
        <f t="shared" ref="I169:I180" si="73">IF(F169=0,G169*H169,0)</f>
        <v>0</v>
      </c>
      <c r="J169" s="285">
        <f t="shared" ref="J169:J180" si="74">D169-G169+J168</f>
        <v>0</v>
      </c>
      <c r="K169" s="298">
        <f t="shared" ref="K169:K180" si="75">IF(J169=0,0,L169/J169)</f>
        <v>0</v>
      </c>
      <c r="L169" s="286">
        <f t="shared" ref="L169:L180" si="76">IF(F169=0,L168-I169,L168+F169)</f>
        <v>0</v>
      </c>
    </row>
    <row r="170" spans="1:12">
      <c r="A170" s="284"/>
      <c r="B170" s="285"/>
      <c r="C170" s="286"/>
      <c r="D170" s="285">
        <v>0</v>
      </c>
      <c r="E170" s="286">
        <f t="shared" si="72"/>
        <v>0</v>
      </c>
      <c r="F170" s="286">
        <v>0</v>
      </c>
      <c r="G170" s="285">
        <v>0</v>
      </c>
      <c r="H170" s="298">
        <f t="shared" ref="H170:H180" si="77">K169</f>
        <v>0</v>
      </c>
      <c r="I170" s="286">
        <f t="shared" si="73"/>
        <v>0</v>
      </c>
      <c r="J170" s="285">
        <f t="shared" si="74"/>
        <v>0</v>
      </c>
      <c r="K170" s="298">
        <f t="shared" si="75"/>
        <v>0</v>
      </c>
      <c r="L170" s="286">
        <f t="shared" si="76"/>
        <v>0</v>
      </c>
    </row>
    <row r="171" spans="1:12">
      <c r="A171" s="284"/>
      <c r="B171" s="285"/>
      <c r="C171" s="286"/>
      <c r="D171" s="285">
        <v>0</v>
      </c>
      <c r="E171" s="286">
        <f t="shared" si="72"/>
        <v>0</v>
      </c>
      <c r="F171" s="286">
        <v>0</v>
      </c>
      <c r="G171" s="285">
        <v>0</v>
      </c>
      <c r="H171" s="298">
        <f t="shared" si="77"/>
        <v>0</v>
      </c>
      <c r="I171" s="286">
        <f t="shared" si="73"/>
        <v>0</v>
      </c>
      <c r="J171" s="285">
        <f t="shared" si="74"/>
        <v>0</v>
      </c>
      <c r="K171" s="298">
        <f t="shared" si="75"/>
        <v>0</v>
      </c>
      <c r="L171" s="286">
        <f t="shared" si="76"/>
        <v>0</v>
      </c>
    </row>
    <row r="172" spans="1:12">
      <c r="A172" s="284"/>
      <c r="B172" s="285"/>
      <c r="C172" s="286"/>
      <c r="D172" s="285">
        <v>0</v>
      </c>
      <c r="E172" s="286">
        <f t="shared" si="72"/>
        <v>0</v>
      </c>
      <c r="F172" s="286">
        <v>0</v>
      </c>
      <c r="G172" s="285">
        <v>0</v>
      </c>
      <c r="H172" s="298">
        <f t="shared" si="77"/>
        <v>0</v>
      </c>
      <c r="I172" s="286">
        <f t="shared" si="73"/>
        <v>0</v>
      </c>
      <c r="J172" s="285">
        <f t="shared" si="74"/>
        <v>0</v>
      </c>
      <c r="K172" s="298">
        <f t="shared" si="75"/>
        <v>0</v>
      </c>
      <c r="L172" s="286">
        <f t="shared" si="76"/>
        <v>0</v>
      </c>
    </row>
    <row r="173" spans="1:12">
      <c r="A173" s="284"/>
      <c r="B173" s="285"/>
      <c r="C173" s="286"/>
      <c r="D173" s="285">
        <v>0</v>
      </c>
      <c r="E173" s="286">
        <f t="shared" si="72"/>
        <v>0</v>
      </c>
      <c r="F173" s="286">
        <v>0</v>
      </c>
      <c r="G173" s="285">
        <v>0</v>
      </c>
      <c r="H173" s="298">
        <f t="shared" si="77"/>
        <v>0</v>
      </c>
      <c r="I173" s="286">
        <f t="shared" si="73"/>
        <v>0</v>
      </c>
      <c r="J173" s="285">
        <f t="shared" si="74"/>
        <v>0</v>
      </c>
      <c r="K173" s="298">
        <f t="shared" si="75"/>
        <v>0</v>
      </c>
      <c r="L173" s="286">
        <f t="shared" si="76"/>
        <v>0</v>
      </c>
    </row>
    <row r="174" spans="1:12">
      <c r="A174" s="284"/>
      <c r="B174" s="285"/>
      <c r="C174" s="286"/>
      <c r="D174" s="285">
        <v>0</v>
      </c>
      <c r="E174" s="286">
        <f t="shared" si="72"/>
        <v>0</v>
      </c>
      <c r="F174" s="286">
        <v>0</v>
      </c>
      <c r="G174" s="285">
        <v>0</v>
      </c>
      <c r="H174" s="298">
        <f t="shared" si="77"/>
        <v>0</v>
      </c>
      <c r="I174" s="286">
        <f t="shared" si="73"/>
        <v>0</v>
      </c>
      <c r="J174" s="285">
        <f t="shared" si="74"/>
        <v>0</v>
      </c>
      <c r="K174" s="298">
        <f t="shared" si="75"/>
        <v>0</v>
      </c>
      <c r="L174" s="286">
        <f t="shared" si="76"/>
        <v>0</v>
      </c>
    </row>
    <row r="175" spans="1:12">
      <c r="A175" s="284"/>
      <c r="B175" s="285"/>
      <c r="C175" s="286"/>
      <c r="D175" s="285">
        <v>0</v>
      </c>
      <c r="E175" s="286">
        <f t="shared" si="72"/>
        <v>0</v>
      </c>
      <c r="F175" s="286">
        <v>0</v>
      </c>
      <c r="G175" s="285">
        <v>0</v>
      </c>
      <c r="H175" s="298">
        <f t="shared" si="77"/>
        <v>0</v>
      </c>
      <c r="I175" s="286">
        <f t="shared" si="73"/>
        <v>0</v>
      </c>
      <c r="J175" s="285">
        <f t="shared" si="74"/>
        <v>0</v>
      </c>
      <c r="K175" s="298">
        <f t="shared" si="75"/>
        <v>0</v>
      </c>
      <c r="L175" s="286">
        <f t="shared" si="76"/>
        <v>0</v>
      </c>
    </row>
    <row r="176" spans="1:12">
      <c r="A176" s="284"/>
      <c r="B176" s="285"/>
      <c r="C176" s="286"/>
      <c r="D176" s="285">
        <v>0</v>
      </c>
      <c r="E176" s="286">
        <f t="shared" si="72"/>
        <v>0</v>
      </c>
      <c r="F176" s="286">
        <v>0</v>
      </c>
      <c r="G176" s="285">
        <v>0</v>
      </c>
      <c r="H176" s="298">
        <f t="shared" si="77"/>
        <v>0</v>
      </c>
      <c r="I176" s="286">
        <f t="shared" si="73"/>
        <v>0</v>
      </c>
      <c r="J176" s="285">
        <f t="shared" si="74"/>
        <v>0</v>
      </c>
      <c r="K176" s="298">
        <f t="shared" si="75"/>
        <v>0</v>
      </c>
      <c r="L176" s="286">
        <f t="shared" si="76"/>
        <v>0</v>
      </c>
    </row>
    <row r="177" spans="1:12">
      <c r="A177" s="284"/>
      <c r="B177" s="285"/>
      <c r="C177" s="286"/>
      <c r="D177" s="285">
        <v>0</v>
      </c>
      <c r="E177" s="286">
        <f t="shared" si="72"/>
        <v>0</v>
      </c>
      <c r="F177" s="286">
        <v>0</v>
      </c>
      <c r="G177" s="285">
        <v>0</v>
      </c>
      <c r="H177" s="298">
        <f t="shared" si="77"/>
        <v>0</v>
      </c>
      <c r="I177" s="286">
        <f t="shared" si="73"/>
        <v>0</v>
      </c>
      <c r="J177" s="285">
        <f t="shared" si="74"/>
        <v>0</v>
      </c>
      <c r="K177" s="298">
        <f t="shared" si="75"/>
        <v>0</v>
      </c>
      <c r="L177" s="286">
        <f t="shared" si="76"/>
        <v>0</v>
      </c>
    </row>
    <row r="178" spans="1:12">
      <c r="A178" s="299"/>
      <c r="B178" s="285"/>
      <c r="C178" s="286"/>
      <c r="D178" s="285">
        <v>0</v>
      </c>
      <c r="E178" s="286">
        <f t="shared" si="72"/>
        <v>0</v>
      </c>
      <c r="F178" s="286">
        <v>0</v>
      </c>
      <c r="G178" s="285">
        <v>0</v>
      </c>
      <c r="H178" s="298">
        <f t="shared" si="77"/>
        <v>0</v>
      </c>
      <c r="I178" s="286">
        <f t="shared" si="73"/>
        <v>0</v>
      </c>
      <c r="J178" s="285">
        <f t="shared" si="74"/>
        <v>0</v>
      </c>
      <c r="K178" s="298">
        <f t="shared" si="75"/>
        <v>0</v>
      </c>
      <c r="L178" s="286">
        <f t="shared" si="76"/>
        <v>0</v>
      </c>
    </row>
    <row r="179" spans="1:12">
      <c r="A179" s="284"/>
      <c r="B179" s="285"/>
      <c r="C179" s="286"/>
      <c r="D179" s="285">
        <v>0</v>
      </c>
      <c r="E179" s="286">
        <f t="shared" si="72"/>
        <v>0</v>
      </c>
      <c r="F179" s="286">
        <v>0</v>
      </c>
      <c r="G179" s="285">
        <v>0</v>
      </c>
      <c r="H179" s="298">
        <f t="shared" si="77"/>
        <v>0</v>
      </c>
      <c r="I179" s="286">
        <f t="shared" si="73"/>
        <v>0</v>
      </c>
      <c r="J179" s="285">
        <f t="shared" si="74"/>
        <v>0</v>
      </c>
      <c r="K179" s="298">
        <f t="shared" si="75"/>
        <v>0</v>
      </c>
      <c r="L179" s="286">
        <f t="shared" si="76"/>
        <v>0</v>
      </c>
    </row>
    <row r="180" spans="1:12">
      <c r="A180" s="284"/>
      <c r="B180" s="285"/>
      <c r="C180" s="286"/>
      <c r="D180" s="285">
        <v>0</v>
      </c>
      <c r="E180" s="286">
        <f t="shared" si="72"/>
        <v>0</v>
      </c>
      <c r="F180" s="286">
        <v>0</v>
      </c>
      <c r="G180" s="285">
        <v>0</v>
      </c>
      <c r="H180" s="298">
        <f t="shared" si="77"/>
        <v>0</v>
      </c>
      <c r="I180" s="286">
        <f t="shared" si="73"/>
        <v>0</v>
      </c>
      <c r="J180" s="285">
        <f t="shared" si="74"/>
        <v>0</v>
      </c>
      <c r="K180" s="298">
        <f t="shared" si="75"/>
        <v>0</v>
      </c>
      <c r="L180" s="286">
        <f t="shared" si="76"/>
        <v>0</v>
      </c>
    </row>
    <row r="181" ht="13.5" spans="1:12">
      <c r="A181" s="284"/>
      <c r="B181" s="285"/>
      <c r="C181" s="286"/>
      <c r="D181" s="285"/>
      <c r="E181" s="286"/>
      <c r="F181" s="300" t="s">
        <v>133</v>
      </c>
      <c r="G181" s="301">
        <f>SUM(F169:F180)</f>
        <v>0</v>
      </c>
      <c r="H181" s="300" t="s">
        <v>134</v>
      </c>
      <c r="I181" s="302">
        <f>SUM(I169:I180)</f>
        <v>0</v>
      </c>
      <c r="J181" s="285"/>
      <c r="K181" s="300" t="s">
        <v>131</v>
      </c>
      <c r="L181" s="286">
        <f>L180</f>
        <v>0</v>
      </c>
    </row>
    <row r="185" ht="12.75" spans="1:12">
      <c r="J185" s="305" t="s">
        <v>154</v>
      </c>
      <c r="K185" s="305" t="s">
        <v>155</v>
      </c>
      <c r="L185" s="306">
        <f>L20+L41+L61+L81+L101+L121+L141+L161+L181</f>
        <v>20.56</v>
      </c>
    </row>
    <row r="186" ht="12.75" spans="1:12">
      <c r="K186" s="305" t="s">
        <v>102</v>
      </c>
      <c r="L186" s="306">
        <f>I20+I41+I61+I81+I101+I121+I141+I161+I181+'明细账汇总-损益类科目'!R25</f>
        <v>0</v>
      </c>
    </row>
  </sheetData>
  <mergeCells count="63">
    <mergeCell ref="A1:K1"/>
    <mergeCell ref="I2:K2"/>
    <mergeCell ref="B3:C3"/>
    <mergeCell ref="D3:F3"/>
    <mergeCell ref="G3:I3"/>
    <mergeCell ref="J3:L3"/>
    <mergeCell ref="A22:K22"/>
    <mergeCell ref="I23:K23"/>
    <mergeCell ref="B24:C24"/>
    <mergeCell ref="D24:F24"/>
    <mergeCell ref="G24:I24"/>
    <mergeCell ref="J24:L24"/>
    <mergeCell ref="A44:K44"/>
    <mergeCell ref="I45:K45"/>
    <mergeCell ref="B46:C46"/>
    <mergeCell ref="D46:F46"/>
    <mergeCell ref="G46:I46"/>
    <mergeCell ref="J46:L46"/>
    <mergeCell ref="A64:K64"/>
    <mergeCell ref="I65:K65"/>
    <mergeCell ref="B66:C66"/>
    <mergeCell ref="D66:F66"/>
    <mergeCell ref="G66:I66"/>
    <mergeCell ref="J66:L66"/>
    <mergeCell ref="A84:K84"/>
    <mergeCell ref="I85:K85"/>
    <mergeCell ref="B86:C86"/>
    <mergeCell ref="D86:F86"/>
    <mergeCell ref="G86:I86"/>
    <mergeCell ref="J86:L86"/>
    <mergeCell ref="A104:K104"/>
    <mergeCell ref="I105:K105"/>
    <mergeCell ref="B106:C106"/>
    <mergeCell ref="D106:F106"/>
    <mergeCell ref="G106:I106"/>
    <mergeCell ref="J106:L106"/>
    <mergeCell ref="A124:K124"/>
    <mergeCell ref="I125:K125"/>
    <mergeCell ref="B126:C126"/>
    <mergeCell ref="D126:F126"/>
    <mergeCell ref="G126:I126"/>
    <mergeCell ref="J126:L126"/>
    <mergeCell ref="A144:K144"/>
    <mergeCell ref="I145:K145"/>
    <mergeCell ref="B146:C146"/>
    <mergeCell ref="D146:F146"/>
    <mergeCell ref="G146:I146"/>
    <mergeCell ref="J146:L146"/>
    <mergeCell ref="A164:K164"/>
    <mergeCell ref="I165:K165"/>
    <mergeCell ref="B166:C166"/>
    <mergeCell ref="D166:F166"/>
    <mergeCell ref="G166:I166"/>
    <mergeCell ref="J166:L166"/>
    <mergeCell ref="A3:A4"/>
    <mergeCell ref="A24:A25"/>
    <mergeCell ref="A46:A47"/>
    <mergeCell ref="A66:A67"/>
    <mergeCell ref="A86:A87"/>
    <mergeCell ref="A106:A107"/>
    <mergeCell ref="A126:A127"/>
    <mergeCell ref="A146:A147"/>
    <mergeCell ref="A166:A167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1"/>
  <sheetViews>
    <sheetView workbookViewId="0">
      <selection activeCell="C6" sqref="C6"/>
    </sheetView>
  </sheetViews>
  <sheetFormatPr defaultColWidth="9" defaultRowHeight="12.35"/>
  <cols>
    <col min="2" max="3" width="16" customWidth="1"/>
    <col min="6" max="7" width="16" customWidth="1"/>
    <col min="10" max="10" width="13.4285714285714" customWidth="1"/>
    <col min="11" max="11" width="14.5714285714286" customWidth="1"/>
    <col min="12" max="13" width="11.5714285714286" customWidth="1"/>
    <col min="14" max="14" width="14.2857142857143" customWidth="1"/>
    <col min="15" max="15" width="14" customWidth="1"/>
    <col min="16" max="16" width="16.5714285714286" customWidth="1"/>
    <col min="17" max="17" width="16" customWidth="1"/>
    <col min="18" max="18" width="14.2857142857143" customWidth="1"/>
    <col min="20" max="20" width="16.5714285714286" hidden="1" customWidth="1"/>
    <col min="21" max="21" width="14.1428571428571" hidden="1" customWidth="1"/>
    <col min="22" max="22" width="13" hidden="1" customWidth="1"/>
    <col min="23" max="23" width="9" hidden="1" customWidth="1"/>
    <col min="24" max="24" width="13.2857142857143" customWidth="1"/>
    <col min="25" max="25" width="14.1428571428571" customWidth="1"/>
    <col min="26" max="26" width="14.2857142857143" customWidth="1"/>
    <col min="28" max="28" width="9" hidden="1" customWidth="1"/>
    <col min="30" max="30" width="17.5714285714286" customWidth="1"/>
    <col min="31" max="31" width="15.5714285714286" customWidth="1"/>
    <col min="34" max="34" width="14.4285714285714" customWidth="1"/>
    <col min="35" max="35" width="14.5714285714286" customWidth="1"/>
    <col min="38" max="38" width="15" customWidth="1"/>
    <col min="39" max="39" width="17.1428571428571" customWidth="1"/>
    <col min="42" max="42" width="14" customWidth="1"/>
    <col min="43" max="43" width="14.5714285714286" customWidth="1"/>
    <col min="46" max="46" width="14.4285714285714" customWidth="1"/>
    <col min="47" max="47" width="16.0666666666667" customWidth="1"/>
  </cols>
  <sheetData>
    <row r="1" ht="13.5" spans="1:47">
      <c r="A1" s="264"/>
      <c r="B1" s="265" t="s">
        <v>12</v>
      </c>
      <c r="C1" s="266"/>
      <c r="D1" s="267"/>
      <c r="E1" s="264"/>
      <c r="F1" s="265" t="s">
        <v>62</v>
      </c>
      <c r="G1" s="266"/>
      <c r="H1" s="267"/>
      <c r="I1" s="264"/>
      <c r="J1" s="265" t="s">
        <v>156</v>
      </c>
      <c r="K1" s="266"/>
      <c r="L1" s="268"/>
      <c r="M1" s="264"/>
      <c r="N1" s="269" t="s">
        <v>157</v>
      </c>
      <c r="O1" s="270"/>
      <c r="P1" s="264"/>
      <c r="Q1" s="265" t="s">
        <v>49</v>
      </c>
      <c r="R1" s="266"/>
      <c r="S1" s="267"/>
      <c r="T1" s="264"/>
      <c r="U1" s="265"/>
      <c r="V1" s="266"/>
      <c r="X1" s="264"/>
      <c r="Y1" s="265" t="s">
        <v>23</v>
      </c>
      <c r="Z1" s="266"/>
      <c r="AC1" s="264"/>
      <c r="AD1" s="265" t="s">
        <v>70</v>
      </c>
      <c r="AE1" s="266"/>
      <c r="AG1" s="228"/>
      <c r="AH1" s="229" t="s">
        <v>158</v>
      </c>
      <c r="AI1" s="230"/>
      <c r="AK1" s="228"/>
      <c r="AL1" s="229" t="s">
        <v>63</v>
      </c>
      <c r="AM1" s="230"/>
      <c r="AO1" s="228"/>
      <c r="AP1" s="229" t="s">
        <v>159</v>
      </c>
      <c r="AQ1" s="230"/>
      <c r="AS1" s="264"/>
      <c r="AT1" s="265" t="s">
        <v>160</v>
      </c>
      <c r="AU1" s="266"/>
    </row>
    <row r="2" ht="13.5" spans="1:47">
      <c r="A2" s="264"/>
      <c r="B2" s="265" t="s">
        <v>161</v>
      </c>
      <c r="C2" s="265" t="s">
        <v>162</v>
      </c>
      <c r="D2" s="267"/>
      <c r="E2" s="264"/>
      <c r="F2" s="265" t="s">
        <v>161</v>
      </c>
      <c r="G2" s="265" t="s">
        <v>162</v>
      </c>
      <c r="H2" s="267"/>
      <c r="I2" s="264"/>
      <c r="J2" s="265" t="s">
        <v>161</v>
      </c>
      <c r="K2" s="265" t="s">
        <v>162</v>
      </c>
      <c r="L2" s="271"/>
      <c r="M2" s="264"/>
      <c r="N2" s="265" t="s">
        <v>161</v>
      </c>
      <c r="O2" s="265" t="s">
        <v>162</v>
      </c>
      <c r="P2" s="264"/>
      <c r="Q2" s="265" t="s">
        <v>161</v>
      </c>
      <c r="R2" s="265" t="s">
        <v>162</v>
      </c>
      <c r="S2" s="267"/>
      <c r="T2" s="264"/>
      <c r="U2" s="265"/>
      <c r="V2" s="265"/>
      <c r="X2" s="264"/>
      <c r="Y2" s="265" t="s">
        <v>161</v>
      </c>
      <c r="Z2" s="265" t="s">
        <v>162</v>
      </c>
      <c r="AC2" s="264"/>
      <c r="AD2" s="265" t="s">
        <v>161</v>
      </c>
      <c r="AE2" s="265" t="s">
        <v>162</v>
      </c>
      <c r="AG2" s="234"/>
      <c r="AH2" s="235" t="s">
        <v>161</v>
      </c>
      <c r="AI2" s="236" t="s">
        <v>162</v>
      </c>
      <c r="AK2" s="234"/>
      <c r="AL2" s="235" t="s">
        <v>161</v>
      </c>
      <c r="AM2" s="236" t="s">
        <v>162</v>
      </c>
      <c r="AO2" s="234"/>
      <c r="AP2" s="235" t="s">
        <v>163</v>
      </c>
      <c r="AQ2" s="236" t="s">
        <v>164</v>
      </c>
      <c r="AS2" s="264"/>
      <c r="AT2" s="265" t="s">
        <v>161</v>
      </c>
      <c r="AU2" s="265" t="s">
        <v>162</v>
      </c>
    </row>
    <row r="3" ht="13.5" spans="1:47">
      <c r="A3" s="272" t="s">
        <v>165</v>
      </c>
      <c r="B3" s="243"/>
      <c r="C3" s="243"/>
      <c r="D3" s="267"/>
      <c r="E3" s="272" t="s">
        <v>165</v>
      </c>
      <c r="F3" s="243"/>
      <c r="G3" s="243"/>
      <c r="H3" s="267"/>
      <c r="I3" s="272" t="s">
        <v>165</v>
      </c>
      <c r="J3" s="243"/>
      <c r="K3" s="243"/>
      <c r="L3" s="273"/>
      <c r="M3" s="272" t="s">
        <v>165</v>
      </c>
      <c r="N3" s="243"/>
      <c r="O3" s="243"/>
      <c r="P3" s="272" t="s">
        <v>165</v>
      </c>
      <c r="Q3" s="243"/>
      <c r="R3" s="243"/>
      <c r="S3" s="267"/>
      <c r="T3" s="272"/>
      <c r="U3" s="243"/>
      <c r="V3" s="243"/>
      <c r="X3" s="272" t="s">
        <v>165</v>
      </c>
      <c r="Y3" s="243"/>
      <c r="Z3" s="243"/>
      <c r="AC3" s="272" t="s">
        <v>165</v>
      </c>
      <c r="AD3" s="243"/>
      <c r="AE3" s="243"/>
      <c r="AG3" s="240" t="s">
        <v>165</v>
      </c>
      <c r="AH3" s="238"/>
      <c r="AI3" s="239"/>
      <c r="AK3" s="240" t="s">
        <v>165</v>
      </c>
      <c r="AL3" s="238">
        <v>0</v>
      </c>
      <c r="AM3" s="239"/>
      <c r="AO3" s="240" t="s">
        <v>165</v>
      </c>
      <c r="AP3" s="238">
        <v>0</v>
      </c>
      <c r="AQ3" s="239"/>
      <c r="AS3" s="272" t="s">
        <v>165</v>
      </c>
      <c r="AT3" s="243"/>
      <c r="AU3" s="243"/>
    </row>
    <row r="4" ht="13.5" spans="1:47">
      <c r="A4" s="264"/>
      <c r="B4" s="243"/>
      <c r="C4" s="243"/>
      <c r="D4" s="267"/>
      <c r="E4" s="264"/>
      <c r="F4" s="243"/>
      <c r="G4" s="243">
        <v>0</v>
      </c>
      <c r="H4" s="267"/>
      <c r="I4" s="264"/>
      <c r="J4" s="243">
        <f>'原材料(加工用)'!L204</f>
        <v>0</v>
      </c>
      <c r="K4" s="243"/>
      <c r="L4" s="273"/>
      <c r="M4" s="264"/>
      <c r="N4" s="243">
        <f>'零件（加工用）'!L203</f>
        <v>411.2</v>
      </c>
      <c r="O4" s="243"/>
      <c r="P4" s="264"/>
      <c r="Q4" s="243"/>
      <c r="R4" s="243">
        <v>0</v>
      </c>
      <c r="S4" s="267"/>
      <c r="T4" s="264"/>
      <c r="U4" s="243"/>
      <c r="V4" s="243"/>
      <c r="X4" s="274"/>
      <c r="Y4" s="243"/>
      <c r="Z4" s="243">
        <v>0</v>
      </c>
      <c r="AC4" s="264"/>
      <c r="AD4" s="243">
        <v>0</v>
      </c>
      <c r="AE4" s="243">
        <v>0</v>
      </c>
      <c r="AG4" s="234"/>
      <c r="AH4" s="238">
        <f>'商品（各实体用）'!L185</f>
        <v>20.56</v>
      </c>
      <c r="AI4" s="239">
        <v>0</v>
      </c>
      <c r="AK4" s="234"/>
      <c r="AL4" s="238"/>
      <c r="AM4" s="239">
        <v>0</v>
      </c>
      <c r="AO4" s="234"/>
      <c r="AP4" s="238"/>
      <c r="AQ4" s="239">
        <v>0</v>
      </c>
      <c r="AS4" s="264"/>
      <c r="AT4" s="243"/>
      <c r="AU4" s="243"/>
    </row>
    <row r="5" ht="13.5" spans="1:47">
      <c r="A5" s="264"/>
      <c r="B5" s="243"/>
      <c r="C5" s="243"/>
      <c r="D5" s="267"/>
      <c r="E5" s="264"/>
      <c r="F5" s="243"/>
      <c r="G5" s="243"/>
      <c r="H5" s="267"/>
      <c r="I5" s="264"/>
      <c r="J5" s="243"/>
      <c r="K5" s="243"/>
      <c r="L5" s="273"/>
      <c r="M5" s="264"/>
      <c r="N5" s="243"/>
      <c r="O5" s="243"/>
      <c r="P5" s="264"/>
      <c r="Q5" s="243"/>
      <c r="R5" s="243"/>
      <c r="S5" s="267"/>
      <c r="T5" s="264"/>
      <c r="U5" s="243"/>
      <c r="V5" s="243"/>
      <c r="X5" s="274"/>
      <c r="Y5" s="243"/>
      <c r="Z5" s="243"/>
      <c r="AC5" s="264"/>
      <c r="AD5" s="243"/>
      <c r="AE5" s="243"/>
      <c r="AG5" s="234"/>
      <c r="AH5" s="238"/>
      <c r="AI5" s="239"/>
      <c r="AK5" s="234"/>
      <c r="AL5" s="238"/>
      <c r="AM5" s="239"/>
      <c r="AO5" s="234"/>
      <c r="AP5" s="238"/>
      <c r="AQ5" s="239"/>
      <c r="AS5" s="264"/>
      <c r="AT5" s="243"/>
      <c r="AU5" s="243"/>
    </row>
    <row r="6" ht="13.5" spans="1:47">
      <c r="A6" s="264"/>
      <c r="B6" s="243"/>
      <c r="C6" s="243"/>
      <c r="D6" s="267"/>
      <c r="E6" s="264"/>
      <c r="F6" s="243"/>
      <c r="G6" s="243"/>
      <c r="H6" s="267"/>
      <c r="I6" s="264"/>
      <c r="J6" s="243"/>
      <c r="K6" s="243"/>
      <c r="L6" s="273"/>
      <c r="M6" s="264"/>
      <c r="N6" s="243"/>
      <c r="O6" s="243"/>
      <c r="P6" s="264"/>
      <c r="Q6" s="243"/>
      <c r="R6" s="243"/>
      <c r="S6" s="267"/>
      <c r="T6" s="264"/>
      <c r="U6" s="243"/>
      <c r="V6" s="243"/>
      <c r="X6" s="274"/>
      <c r="Y6" s="243"/>
      <c r="Z6" s="243"/>
      <c r="AC6" s="264"/>
      <c r="AD6" s="243"/>
      <c r="AE6" s="243"/>
      <c r="AG6" s="234"/>
      <c r="AH6" s="243"/>
      <c r="AI6" s="239"/>
      <c r="AK6" s="234"/>
      <c r="AL6" s="243"/>
      <c r="AM6" s="239"/>
      <c r="AO6" s="234"/>
      <c r="AP6" s="243"/>
      <c r="AQ6" s="239"/>
      <c r="AS6" s="264"/>
      <c r="AT6" s="243"/>
      <c r="AU6" s="243"/>
    </row>
    <row r="7" ht="13.5" spans="1:47">
      <c r="A7" s="264"/>
      <c r="B7" s="243"/>
      <c r="C7" s="243"/>
      <c r="D7" s="267"/>
      <c r="E7" s="264"/>
      <c r="F7" s="243"/>
      <c r="G7" s="243"/>
      <c r="H7" s="267"/>
      <c r="I7" s="264"/>
      <c r="J7" s="243"/>
      <c r="K7" s="243"/>
      <c r="L7" s="273"/>
      <c r="M7" s="264"/>
      <c r="N7" s="243"/>
      <c r="O7" s="243"/>
      <c r="P7" s="264"/>
      <c r="Q7" s="243"/>
      <c r="R7" s="243"/>
      <c r="S7" s="267"/>
      <c r="T7" s="264"/>
      <c r="U7" s="243"/>
      <c r="V7" s="243"/>
      <c r="X7" s="274"/>
      <c r="Y7" s="243"/>
      <c r="Z7" s="243"/>
      <c r="AC7" s="264"/>
      <c r="AD7" s="243"/>
      <c r="AE7" s="243"/>
      <c r="AG7" s="234"/>
      <c r="AH7" s="238"/>
      <c r="AI7" s="239"/>
      <c r="AK7" s="234"/>
      <c r="AL7" s="238"/>
      <c r="AM7" s="239"/>
      <c r="AO7" s="234"/>
      <c r="AP7" s="238"/>
      <c r="AQ7" s="239"/>
      <c r="AS7" s="264"/>
      <c r="AT7" s="243"/>
      <c r="AU7" s="243"/>
    </row>
    <row r="8" ht="13.5" spans="1:47">
      <c r="A8" s="264"/>
      <c r="B8" s="243"/>
      <c r="C8" s="243"/>
      <c r="D8" s="267"/>
      <c r="E8" s="264"/>
      <c r="F8" s="243"/>
      <c r="G8" s="243"/>
      <c r="H8" s="267"/>
      <c r="I8" s="264"/>
      <c r="J8" s="243"/>
      <c r="K8" s="243"/>
      <c r="L8" s="273"/>
      <c r="M8" s="264"/>
      <c r="N8" s="243"/>
      <c r="O8" s="243"/>
      <c r="P8" s="264"/>
      <c r="Q8" s="243"/>
      <c r="R8" s="243"/>
      <c r="S8" s="267"/>
      <c r="T8" s="264"/>
      <c r="U8" s="243"/>
      <c r="V8" s="243"/>
      <c r="X8" s="274"/>
      <c r="Y8" s="243"/>
      <c r="Z8" s="243"/>
      <c r="AC8" s="264"/>
      <c r="AD8" s="243"/>
      <c r="AE8" s="243"/>
      <c r="AG8" s="234"/>
      <c r="AH8" s="238"/>
      <c r="AI8" s="239"/>
      <c r="AK8" s="234"/>
      <c r="AL8" s="238"/>
      <c r="AM8" s="239"/>
      <c r="AO8" s="234"/>
      <c r="AP8" s="238"/>
      <c r="AQ8" s="239"/>
      <c r="AS8" s="264"/>
      <c r="AT8" s="243"/>
      <c r="AU8" s="243"/>
    </row>
    <row r="9" ht="13.5" spans="1:47">
      <c r="A9" s="264"/>
      <c r="B9" s="243"/>
      <c r="C9" s="243"/>
      <c r="D9" s="267"/>
      <c r="E9" s="264"/>
      <c r="F9" s="243"/>
      <c r="G9" s="243"/>
      <c r="H9" s="267"/>
      <c r="I9" s="264"/>
      <c r="J9" s="243"/>
      <c r="K9" s="243"/>
      <c r="L9" s="273"/>
      <c r="M9" s="264"/>
      <c r="N9" s="243"/>
      <c r="O9" s="243"/>
      <c r="P9" s="264"/>
      <c r="Q9" s="243"/>
      <c r="R9" s="243"/>
      <c r="S9" s="267"/>
      <c r="T9" s="264"/>
      <c r="U9" s="243"/>
      <c r="V9" s="243"/>
      <c r="X9" s="274"/>
      <c r="Y9" s="243"/>
      <c r="Z9" s="243"/>
      <c r="AC9" s="264"/>
      <c r="AD9" s="243"/>
      <c r="AE9" s="243"/>
      <c r="AG9" s="234"/>
      <c r="AH9" s="238"/>
      <c r="AI9" s="239"/>
      <c r="AK9" s="234"/>
      <c r="AL9" s="238"/>
      <c r="AM9" s="239"/>
      <c r="AO9" s="234"/>
      <c r="AP9" s="238"/>
      <c r="AQ9" s="239"/>
      <c r="AS9" s="264"/>
      <c r="AT9" s="243"/>
      <c r="AU9" s="243"/>
    </row>
    <row r="10" ht="13.5" spans="1:47">
      <c r="A10" s="264"/>
      <c r="B10" s="243"/>
      <c r="C10" s="243"/>
      <c r="D10" s="267"/>
      <c r="E10" s="264"/>
      <c r="F10" s="243"/>
      <c r="G10" s="243"/>
      <c r="H10" s="267"/>
      <c r="I10" s="264"/>
      <c r="J10" s="243"/>
      <c r="K10" s="243"/>
      <c r="L10" s="273"/>
      <c r="M10" s="264"/>
      <c r="N10" s="243"/>
      <c r="O10" s="243"/>
      <c r="P10" s="264"/>
      <c r="Q10" s="243"/>
      <c r="R10" s="243"/>
      <c r="S10" s="267"/>
      <c r="T10" s="264"/>
      <c r="U10" s="243"/>
      <c r="V10" s="243"/>
      <c r="X10" s="274"/>
      <c r="Y10" s="243"/>
      <c r="Z10" s="243"/>
      <c r="AC10" s="264"/>
      <c r="AD10" s="243"/>
      <c r="AE10" s="243"/>
      <c r="AG10" s="234"/>
      <c r="AH10" s="238"/>
      <c r="AI10" s="239"/>
      <c r="AK10" s="234"/>
      <c r="AL10" s="238"/>
      <c r="AM10" s="239"/>
      <c r="AO10" s="234"/>
      <c r="AP10" s="238"/>
      <c r="AQ10" s="239"/>
      <c r="AS10" s="264"/>
      <c r="AT10" s="243"/>
      <c r="AU10" s="243"/>
    </row>
    <row r="11" ht="13.5" spans="1:47">
      <c r="A11" s="264"/>
      <c r="B11" s="243"/>
      <c r="C11" s="243"/>
      <c r="D11" s="267"/>
      <c r="E11" s="264"/>
      <c r="F11" s="243"/>
      <c r="G11" s="243"/>
      <c r="H11" s="267"/>
      <c r="I11" s="264"/>
      <c r="J11" s="243"/>
      <c r="K11" s="243"/>
      <c r="L11" s="273"/>
      <c r="M11" s="264"/>
      <c r="N11" s="243"/>
      <c r="O11" s="243"/>
      <c r="P11" s="264"/>
      <c r="Q11" s="243"/>
      <c r="R11" s="243"/>
      <c r="S11" s="267"/>
      <c r="T11" s="264"/>
      <c r="U11" s="243"/>
      <c r="V11" s="243"/>
      <c r="X11" s="274"/>
      <c r="Y11" s="243"/>
      <c r="Z11" s="243"/>
      <c r="AC11" s="264"/>
      <c r="AD11" s="243"/>
      <c r="AE11" s="243"/>
      <c r="AG11" s="234"/>
      <c r="AH11" s="238"/>
      <c r="AI11" s="239"/>
      <c r="AK11" s="234"/>
      <c r="AL11" s="238"/>
      <c r="AM11" s="239"/>
      <c r="AO11" s="234"/>
      <c r="AP11" s="238"/>
      <c r="AQ11" s="239"/>
      <c r="AS11" s="264"/>
      <c r="AT11" s="243"/>
      <c r="AU11" s="243"/>
    </row>
    <row r="12" ht="13.5" spans="1:47">
      <c r="A12" s="264"/>
      <c r="B12" s="243"/>
      <c r="C12" s="243"/>
      <c r="D12" s="267"/>
      <c r="E12" s="264"/>
      <c r="F12" s="243"/>
      <c r="G12" s="243"/>
      <c r="H12" s="267"/>
      <c r="I12" s="264"/>
      <c r="J12" s="243"/>
      <c r="K12" s="243"/>
      <c r="L12" s="273"/>
      <c r="M12" s="264"/>
      <c r="N12" s="243"/>
      <c r="O12" s="243"/>
      <c r="P12" s="264"/>
      <c r="Q12" s="243"/>
      <c r="R12" s="243"/>
      <c r="S12" s="267"/>
      <c r="T12" s="264"/>
      <c r="U12" s="243"/>
      <c r="V12" s="243"/>
      <c r="X12" s="274"/>
      <c r="Y12" s="243"/>
      <c r="Z12" s="243"/>
      <c r="AC12" s="264"/>
      <c r="AD12" s="243"/>
      <c r="AE12" s="243"/>
      <c r="AG12" s="234"/>
      <c r="AH12" s="238"/>
      <c r="AI12" s="239"/>
      <c r="AK12" s="234"/>
      <c r="AL12" s="238"/>
      <c r="AM12" s="239"/>
      <c r="AO12" s="234"/>
      <c r="AP12" s="238"/>
      <c r="AQ12" s="239"/>
      <c r="AS12" s="264"/>
      <c r="AT12" s="243"/>
      <c r="AU12" s="243"/>
    </row>
    <row r="13" ht="13.5" spans="1:47">
      <c r="A13" s="264"/>
      <c r="B13" s="243"/>
      <c r="C13" s="243"/>
      <c r="D13" s="267"/>
      <c r="E13" s="264"/>
      <c r="F13" s="243"/>
      <c r="G13" s="243"/>
      <c r="H13" s="267"/>
      <c r="I13" s="264"/>
      <c r="J13" s="243"/>
      <c r="K13" s="243"/>
      <c r="L13" s="273"/>
      <c r="M13" s="264"/>
      <c r="N13" s="243"/>
      <c r="O13" s="243"/>
      <c r="P13" s="264"/>
      <c r="Q13" s="243"/>
      <c r="R13" s="243"/>
      <c r="S13" s="267"/>
      <c r="T13" s="264"/>
      <c r="U13" s="243"/>
      <c r="V13" s="243"/>
      <c r="X13" s="274"/>
      <c r="Y13" s="243"/>
      <c r="Z13" s="243"/>
      <c r="AC13" s="264"/>
      <c r="AD13" s="243"/>
      <c r="AE13" s="243"/>
      <c r="AG13" s="234"/>
      <c r="AH13" s="238"/>
      <c r="AI13" s="239"/>
      <c r="AK13" s="234"/>
      <c r="AL13" s="238"/>
      <c r="AM13" s="239"/>
      <c r="AO13" s="234"/>
      <c r="AP13" s="238"/>
      <c r="AQ13" s="239"/>
      <c r="AS13" s="264"/>
      <c r="AT13" s="243"/>
      <c r="AU13" s="243"/>
    </row>
    <row r="14" ht="13.5" spans="1:47">
      <c r="A14" s="264"/>
      <c r="B14" s="243"/>
      <c r="C14" s="243"/>
      <c r="D14" s="267"/>
      <c r="E14" s="264"/>
      <c r="F14" s="243"/>
      <c r="G14" s="243"/>
      <c r="H14" s="267"/>
      <c r="I14" s="264"/>
      <c r="J14" s="243"/>
      <c r="K14" s="243"/>
      <c r="L14" s="273"/>
      <c r="M14" s="264"/>
      <c r="N14" s="243"/>
      <c r="O14" s="243"/>
      <c r="P14" s="264"/>
      <c r="Q14" s="243"/>
      <c r="R14" s="243"/>
      <c r="S14" s="267"/>
      <c r="T14" s="264"/>
      <c r="U14" s="243"/>
      <c r="V14" s="243"/>
      <c r="X14" s="274"/>
      <c r="Y14" s="243"/>
      <c r="Z14" s="243"/>
      <c r="AC14" s="264"/>
      <c r="AD14" s="243"/>
      <c r="AE14" s="243"/>
      <c r="AG14" s="234"/>
      <c r="AH14" s="238"/>
      <c r="AI14" s="239"/>
      <c r="AK14" s="234"/>
      <c r="AL14" s="238"/>
      <c r="AM14" s="239"/>
      <c r="AO14" s="234"/>
      <c r="AP14" s="238"/>
      <c r="AQ14" s="239"/>
      <c r="AS14" s="264"/>
      <c r="AT14" s="243"/>
      <c r="AU14" s="243"/>
    </row>
    <row r="15" ht="13.5" spans="1:47">
      <c r="A15" s="264"/>
      <c r="B15" s="243"/>
      <c r="C15" s="243"/>
      <c r="D15" s="267"/>
      <c r="E15" s="264"/>
      <c r="F15" s="243"/>
      <c r="G15" s="243"/>
      <c r="H15" s="267"/>
      <c r="I15" s="264"/>
      <c r="J15" s="243"/>
      <c r="K15" s="243"/>
      <c r="L15" s="273"/>
      <c r="M15" s="264"/>
      <c r="N15" s="243"/>
      <c r="O15" s="243"/>
      <c r="P15" s="264"/>
      <c r="Q15" s="243"/>
      <c r="R15" s="243"/>
      <c r="S15" s="267"/>
      <c r="T15" s="264"/>
      <c r="U15" s="243"/>
      <c r="V15" s="243"/>
      <c r="X15" s="274"/>
      <c r="Y15" s="243"/>
      <c r="Z15" s="243"/>
      <c r="AC15" s="264"/>
      <c r="AD15" s="243"/>
      <c r="AE15" s="243"/>
      <c r="AG15" s="234"/>
      <c r="AH15" s="238"/>
      <c r="AI15" s="239"/>
      <c r="AK15" s="234"/>
      <c r="AL15" s="238"/>
      <c r="AM15" s="239"/>
      <c r="AO15" s="234"/>
      <c r="AP15" s="238"/>
      <c r="AQ15" s="239"/>
      <c r="AS15" s="264"/>
      <c r="AT15" s="243"/>
      <c r="AU15" s="243"/>
    </row>
    <row r="16" ht="13.5" spans="1:47">
      <c r="A16" s="264"/>
      <c r="B16" s="243"/>
      <c r="C16" s="243"/>
      <c r="D16" s="267"/>
      <c r="E16" s="264"/>
      <c r="F16" s="243"/>
      <c r="G16" s="243"/>
      <c r="H16" s="267"/>
      <c r="I16" s="264"/>
      <c r="J16" s="243"/>
      <c r="K16" s="243"/>
      <c r="L16" s="273"/>
      <c r="M16" s="264"/>
      <c r="N16" s="243"/>
      <c r="O16" s="243"/>
      <c r="P16" s="264"/>
      <c r="Q16" s="243"/>
      <c r="R16" s="243"/>
      <c r="S16" s="267"/>
      <c r="T16" s="264"/>
      <c r="U16" s="243"/>
      <c r="V16" s="243"/>
      <c r="X16" s="274"/>
      <c r="Y16" s="243"/>
      <c r="Z16" s="243"/>
      <c r="AC16" s="264"/>
      <c r="AD16" s="243"/>
      <c r="AE16" s="243"/>
      <c r="AG16" s="234"/>
      <c r="AH16" s="238"/>
      <c r="AI16" s="239"/>
      <c r="AK16" s="234"/>
      <c r="AL16" s="238"/>
      <c r="AM16" s="239"/>
      <c r="AO16" s="234"/>
      <c r="AP16" s="238"/>
      <c r="AQ16" s="239"/>
      <c r="AS16" s="264"/>
      <c r="AT16" s="243"/>
      <c r="AU16" s="243"/>
    </row>
    <row r="17" ht="13.5" spans="1:47">
      <c r="A17" s="264"/>
      <c r="B17" s="243"/>
      <c r="C17" s="243"/>
      <c r="D17" s="267"/>
      <c r="E17" s="264"/>
      <c r="F17" s="243"/>
      <c r="G17" s="243"/>
      <c r="H17" s="267"/>
      <c r="I17" s="264"/>
      <c r="J17" s="243"/>
      <c r="K17" s="243"/>
      <c r="L17" s="273"/>
      <c r="M17" s="264"/>
      <c r="N17" s="243"/>
      <c r="O17" s="243"/>
      <c r="P17" s="264"/>
      <c r="Q17" s="243"/>
      <c r="R17" s="243"/>
      <c r="S17" s="267"/>
      <c r="T17" s="264"/>
      <c r="U17" s="243"/>
      <c r="V17" s="243"/>
      <c r="X17" s="274"/>
      <c r="Y17" s="243"/>
      <c r="Z17" s="243"/>
      <c r="AC17" s="264"/>
      <c r="AD17" s="243"/>
      <c r="AE17" s="243"/>
      <c r="AG17" s="234"/>
      <c r="AH17" s="238"/>
      <c r="AI17" s="239"/>
      <c r="AK17" s="234"/>
      <c r="AL17" s="238"/>
      <c r="AM17" s="239"/>
      <c r="AO17" s="234"/>
      <c r="AP17" s="238"/>
      <c r="AQ17" s="239"/>
      <c r="AS17" s="264"/>
      <c r="AT17" s="243"/>
      <c r="AU17" s="243"/>
    </row>
    <row r="18" ht="13.5" spans="1:47">
      <c r="A18" s="264"/>
      <c r="B18" s="243"/>
      <c r="C18" s="243"/>
      <c r="D18" s="267"/>
      <c r="E18" s="264"/>
      <c r="F18" s="243"/>
      <c r="G18" s="243"/>
      <c r="H18" s="267"/>
      <c r="I18" s="275"/>
      <c r="J18" s="243"/>
      <c r="K18" s="243"/>
      <c r="L18" s="273"/>
      <c r="M18" s="275"/>
      <c r="N18" s="243"/>
      <c r="O18" s="243"/>
      <c r="P18" s="264"/>
      <c r="Q18" s="243"/>
      <c r="R18" s="243"/>
      <c r="S18" s="267"/>
      <c r="T18" s="264"/>
      <c r="U18" s="243"/>
      <c r="V18" s="243"/>
      <c r="X18" s="276"/>
      <c r="Y18" s="243"/>
      <c r="Z18" s="243"/>
      <c r="AC18" s="264"/>
      <c r="AD18" s="243"/>
      <c r="AE18" s="243"/>
      <c r="AG18" s="234"/>
      <c r="AH18" s="238"/>
      <c r="AI18" s="239"/>
      <c r="AK18" s="234"/>
      <c r="AL18" s="238"/>
      <c r="AM18" s="239"/>
      <c r="AO18" s="234"/>
      <c r="AP18" s="238"/>
      <c r="AQ18" s="239"/>
      <c r="AS18" s="264"/>
      <c r="AT18" s="243"/>
      <c r="AU18" s="243"/>
    </row>
    <row r="19" ht="13.5" spans="1:47">
      <c r="A19" s="264"/>
      <c r="B19" s="243"/>
      <c r="C19" s="243"/>
      <c r="D19" s="267"/>
      <c r="E19" s="264"/>
      <c r="F19" s="243"/>
      <c r="G19" s="243"/>
      <c r="H19" s="267"/>
      <c r="I19" s="264"/>
      <c r="J19" s="243"/>
      <c r="K19" s="243"/>
      <c r="L19" s="273"/>
      <c r="M19" s="264"/>
      <c r="N19" s="243"/>
      <c r="O19" s="243"/>
      <c r="P19" s="264"/>
      <c r="Q19" s="243"/>
      <c r="R19" s="243"/>
      <c r="S19" s="267"/>
      <c r="T19" s="264"/>
      <c r="U19" s="243"/>
      <c r="V19" s="243"/>
      <c r="X19" s="274"/>
      <c r="Y19" s="243"/>
      <c r="Z19" s="243"/>
      <c r="AC19" s="264"/>
      <c r="AD19" s="243"/>
      <c r="AE19" s="243"/>
      <c r="AG19" s="234"/>
      <c r="AH19" s="238"/>
      <c r="AI19" s="239"/>
      <c r="AK19" s="234"/>
      <c r="AL19" s="238"/>
      <c r="AM19" s="239"/>
      <c r="AO19" s="234"/>
      <c r="AP19" s="238"/>
      <c r="AQ19" s="239"/>
      <c r="AS19" s="264"/>
      <c r="AT19" s="243"/>
      <c r="AU19" s="243"/>
    </row>
    <row r="20" ht="13.5" spans="1:47">
      <c r="A20" s="264"/>
      <c r="B20" s="243"/>
      <c r="C20" s="243"/>
      <c r="D20" s="267"/>
      <c r="E20" s="264"/>
      <c r="F20" s="243"/>
      <c r="G20" s="243"/>
      <c r="H20" s="267"/>
      <c r="I20" s="275"/>
      <c r="J20" s="243"/>
      <c r="K20" s="243"/>
      <c r="L20" s="273"/>
      <c r="M20" s="275"/>
      <c r="N20" s="243"/>
      <c r="O20" s="243"/>
      <c r="P20" s="264"/>
      <c r="Q20" s="243"/>
      <c r="R20" s="243"/>
      <c r="S20" s="267"/>
      <c r="T20" s="264"/>
      <c r="U20" s="243"/>
      <c r="V20" s="243"/>
      <c r="X20" s="276"/>
      <c r="Y20" s="243"/>
      <c r="Z20" s="243"/>
      <c r="AC20" s="264"/>
      <c r="AD20" s="243"/>
      <c r="AE20" s="243"/>
      <c r="AG20" s="234"/>
      <c r="AH20" s="238"/>
      <c r="AI20" s="239"/>
      <c r="AK20" s="234"/>
      <c r="AL20" s="238"/>
      <c r="AM20" s="239"/>
      <c r="AO20" s="234"/>
      <c r="AP20" s="238"/>
      <c r="AQ20" s="239"/>
      <c r="AS20" s="264"/>
      <c r="AT20" s="243"/>
      <c r="AU20" s="243"/>
    </row>
    <row r="21" ht="13.5" spans="1:47">
      <c r="A21" s="264"/>
      <c r="B21" s="243"/>
      <c r="C21" s="243"/>
      <c r="D21" s="267"/>
      <c r="E21" s="264"/>
      <c r="F21" s="243"/>
      <c r="G21" s="243"/>
      <c r="H21" s="267"/>
      <c r="I21" s="264"/>
      <c r="J21" s="243"/>
      <c r="K21" s="243"/>
      <c r="L21" s="273"/>
      <c r="M21" s="264"/>
      <c r="N21" s="243"/>
      <c r="O21" s="243"/>
      <c r="P21" s="264"/>
      <c r="Q21" s="243"/>
      <c r="R21" s="243"/>
      <c r="S21" s="267"/>
      <c r="T21" s="264"/>
      <c r="U21" s="243"/>
      <c r="V21" s="243"/>
      <c r="X21" s="274"/>
      <c r="Y21" s="243"/>
      <c r="Z21" s="243"/>
      <c r="AC21" s="264"/>
      <c r="AD21" s="243"/>
      <c r="AE21" s="243"/>
      <c r="AG21" s="234"/>
      <c r="AH21" s="238"/>
      <c r="AI21" s="239"/>
      <c r="AK21" s="234"/>
      <c r="AL21" s="238"/>
      <c r="AM21" s="239"/>
      <c r="AO21" s="234"/>
      <c r="AP21" s="238"/>
      <c r="AQ21" s="239"/>
      <c r="AS21" s="264"/>
      <c r="AT21" s="243"/>
      <c r="AU21" s="243"/>
    </row>
    <row r="22" ht="13.5" spans="1:47">
      <c r="A22" s="264"/>
      <c r="B22" s="243"/>
      <c r="C22" s="243"/>
      <c r="D22" s="267"/>
      <c r="E22" s="264"/>
      <c r="F22" s="243"/>
      <c r="G22" s="243"/>
      <c r="H22" s="267"/>
      <c r="I22" s="275"/>
      <c r="J22" s="243"/>
      <c r="K22" s="243"/>
      <c r="L22" s="273"/>
      <c r="M22" s="275"/>
      <c r="N22" s="243"/>
      <c r="O22" s="243"/>
      <c r="P22" s="264"/>
      <c r="Q22" s="243"/>
      <c r="R22" s="243"/>
      <c r="S22" s="267"/>
      <c r="T22" s="264"/>
      <c r="U22" s="243"/>
      <c r="V22" s="243"/>
      <c r="X22" s="276"/>
      <c r="Y22" s="243"/>
      <c r="Z22" s="243"/>
      <c r="AC22" s="264"/>
      <c r="AD22" s="243"/>
      <c r="AE22" s="243"/>
      <c r="AG22" s="234"/>
      <c r="AH22" s="238"/>
      <c r="AI22" s="239"/>
      <c r="AK22" s="234"/>
      <c r="AL22" s="238"/>
      <c r="AM22" s="239"/>
      <c r="AO22" s="234"/>
      <c r="AP22" s="238"/>
      <c r="AQ22" s="239"/>
      <c r="AS22" s="264"/>
      <c r="AT22" s="243"/>
      <c r="AU22" s="243"/>
    </row>
    <row r="23" ht="13.5" spans="1:47">
      <c r="A23" s="264"/>
      <c r="B23" s="243"/>
      <c r="C23" s="243"/>
      <c r="D23" s="267"/>
      <c r="E23" s="264"/>
      <c r="F23" s="243"/>
      <c r="G23" s="243"/>
      <c r="H23" s="267"/>
      <c r="I23" s="264"/>
      <c r="J23" s="243"/>
      <c r="K23" s="243"/>
      <c r="L23" s="273"/>
      <c r="M23" s="264"/>
      <c r="N23" s="243"/>
      <c r="O23" s="243"/>
      <c r="P23" s="264"/>
      <c r="Q23" s="243"/>
      <c r="R23" s="243"/>
      <c r="S23" s="267"/>
      <c r="T23" s="264"/>
      <c r="U23" s="243"/>
      <c r="V23" s="243"/>
      <c r="X23" s="264"/>
      <c r="Y23" s="243"/>
      <c r="Z23" s="243"/>
      <c r="AC23" s="264"/>
      <c r="AD23" s="243"/>
      <c r="AE23" s="243"/>
      <c r="AG23" s="234"/>
      <c r="AH23" s="238"/>
      <c r="AI23" s="239"/>
      <c r="AK23" s="234"/>
      <c r="AL23" s="238"/>
      <c r="AM23" s="239"/>
      <c r="AO23" s="234"/>
      <c r="AP23" s="238"/>
      <c r="AQ23" s="239"/>
      <c r="AS23" s="264"/>
      <c r="AT23" s="243"/>
      <c r="AU23" s="243"/>
    </row>
    <row r="24" ht="13.5" spans="1:47">
      <c r="A24" s="264"/>
      <c r="B24" s="243"/>
      <c r="C24" s="243"/>
      <c r="D24" s="267"/>
      <c r="E24" s="264"/>
      <c r="F24" s="243"/>
      <c r="G24" s="243"/>
      <c r="H24" s="267"/>
      <c r="I24" s="264"/>
      <c r="J24" s="243"/>
      <c r="K24" s="243"/>
      <c r="L24" s="273"/>
      <c r="M24" s="264"/>
      <c r="N24" s="243"/>
      <c r="O24" s="243"/>
      <c r="P24" s="264"/>
      <c r="Q24" s="243"/>
      <c r="R24" s="243"/>
      <c r="S24" s="267"/>
      <c r="T24" s="264"/>
      <c r="U24" s="243"/>
      <c r="V24" s="243"/>
      <c r="X24" s="264"/>
      <c r="Y24" s="243"/>
      <c r="Z24" s="243"/>
      <c r="AC24" s="264"/>
      <c r="AD24" s="243"/>
      <c r="AE24" s="243"/>
      <c r="AG24" s="234"/>
      <c r="AH24" s="238"/>
      <c r="AI24" s="239"/>
      <c r="AK24" s="234"/>
      <c r="AL24" s="238"/>
      <c r="AM24" s="239"/>
      <c r="AO24" s="234"/>
      <c r="AP24" s="238"/>
      <c r="AQ24" s="239"/>
      <c r="AS24" s="264"/>
      <c r="AT24" s="243"/>
      <c r="AU24" s="243"/>
    </row>
    <row r="25" ht="13.5" spans="1:47">
      <c r="A25" s="264"/>
      <c r="B25" s="243"/>
      <c r="C25" s="243"/>
      <c r="D25" s="267"/>
      <c r="E25" s="264"/>
      <c r="F25" s="277"/>
      <c r="G25" s="277"/>
      <c r="H25" s="267"/>
      <c r="I25" s="264"/>
      <c r="J25" s="277"/>
      <c r="K25" s="277"/>
      <c r="L25" s="278"/>
      <c r="M25" s="264"/>
      <c r="N25" s="277"/>
      <c r="O25" s="277"/>
      <c r="P25" s="264"/>
      <c r="Q25" s="277"/>
      <c r="R25" s="277"/>
      <c r="S25" s="267"/>
      <c r="T25" s="264"/>
      <c r="U25" s="277"/>
      <c r="V25" s="277"/>
      <c r="X25" s="264"/>
      <c r="Y25" s="277"/>
      <c r="Z25" s="277"/>
      <c r="AC25" s="264"/>
      <c r="AD25" s="277"/>
      <c r="AE25" s="277"/>
      <c r="AG25" s="234"/>
      <c r="AH25" s="238"/>
      <c r="AI25" s="239"/>
      <c r="AK25" s="234"/>
      <c r="AL25" s="238"/>
      <c r="AM25" s="239"/>
      <c r="AO25" s="234"/>
      <c r="AP25" s="238"/>
      <c r="AQ25" s="239"/>
      <c r="AS25" s="264"/>
      <c r="AT25" s="243"/>
      <c r="AU25" s="243"/>
    </row>
    <row r="26" ht="13.5" spans="1:47">
      <c r="A26" s="272" t="s">
        <v>166</v>
      </c>
      <c r="B26" s="279">
        <f>SUM(B4:B25)</f>
        <v>0</v>
      </c>
      <c r="C26" s="279">
        <f>SUM(C4:C25)</f>
        <v>0</v>
      </c>
      <c r="D26" s="267"/>
      <c r="E26" s="272" t="s">
        <v>166</v>
      </c>
      <c r="F26" s="279">
        <f>SUM(F4:F25)</f>
        <v>0</v>
      </c>
      <c r="G26" s="279">
        <f>SUM(G4:G25)</f>
        <v>0</v>
      </c>
      <c r="H26" s="267"/>
      <c r="I26" s="272" t="s">
        <v>166</v>
      </c>
      <c r="J26" s="279">
        <f>SUM(J4:J25)</f>
        <v>0</v>
      </c>
      <c r="K26" s="279">
        <f>SUM(K4:K25)</f>
        <v>0</v>
      </c>
      <c r="L26" s="280"/>
      <c r="M26" s="272" t="s">
        <v>166</v>
      </c>
      <c r="N26" s="279">
        <f>SUM(N4:N25)</f>
        <v>411.2</v>
      </c>
      <c r="O26" s="279">
        <f>SUM(O4:O25)</f>
        <v>0</v>
      </c>
      <c r="P26" s="272" t="s">
        <v>166</v>
      </c>
      <c r="Q26" s="279">
        <f>SUM(Q4:Q25)</f>
        <v>0</v>
      </c>
      <c r="R26" s="279">
        <f>SUM(R4:R25)</f>
        <v>0</v>
      </c>
      <c r="S26" s="267"/>
      <c r="T26" s="272"/>
      <c r="U26" s="279"/>
      <c r="V26" s="279"/>
      <c r="X26" s="272" t="s">
        <v>166</v>
      </c>
      <c r="Y26" s="279">
        <f>SUM(Y4:Y25)</f>
        <v>0</v>
      </c>
      <c r="Z26" s="279">
        <f>SUM(Z4:Z25)</f>
        <v>0</v>
      </c>
      <c r="AC26" s="272" t="s">
        <v>166</v>
      </c>
      <c r="AD26" s="279">
        <f>SUM(AD4:AD25)</f>
        <v>0</v>
      </c>
      <c r="AE26" s="279">
        <f>SUM(AE4:AE25)</f>
        <v>0</v>
      </c>
      <c r="AG26" s="240" t="s">
        <v>166</v>
      </c>
      <c r="AH26" s="244">
        <f>SUM(AH4:AH25)</f>
        <v>20.56</v>
      </c>
      <c r="AI26" s="245">
        <f>SUM(AI4:AI25)</f>
        <v>0</v>
      </c>
      <c r="AK26" s="240" t="s">
        <v>166</v>
      </c>
      <c r="AL26" s="244">
        <f>SUM(AL4:AL25)</f>
        <v>0</v>
      </c>
      <c r="AM26" s="245">
        <f>SUM(AM4:AM25)</f>
        <v>0</v>
      </c>
      <c r="AO26" s="240" t="s">
        <v>166</v>
      </c>
      <c r="AP26" s="244">
        <f>SUM(AP4:AP25)</f>
        <v>0</v>
      </c>
      <c r="AQ26" s="245">
        <f>SUM(AQ4:AQ25)</f>
        <v>0</v>
      </c>
      <c r="AS26" s="272" t="s">
        <v>166</v>
      </c>
      <c r="AT26" s="279">
        <f>SUM(AT4:AT25)</f>
        <v>0</v>
      </c>
      <c r="AU26" s="279">
        <f>SUM(AU4:AU25)</f>
        <v>0</v>
      </c>
    </row>
    <row r="27" ht="14.25" spans="1:47">
      <c r="A27" s="272" t="s">
        <v>167</v>
      </c>
      <c r="B27" s="279">
        <f>B26-C26</f>
        <v>0</v>
      </c>
      <c r="C27" s="243">
        <f>B27-银行流水账!F162</f>
        <v>0</v>
      </c>
      <c r="D27" s="267"/>
      <c r="E27" s="272" t="s">
        <v>167</v>
      </c>
      <c r="F27" s="279">
        <f>F3+F26-G26</f>
        <v>0</v>
      </c>
      <c r="G27" s="243"/>
      <c r="H27" s="267"/>
      <c r="I27" s="272" t="s">
        <v>167</v>
      </c>
      <c r="J27" s="279">
        <f>J3+J26-K26</f>
        <v>0</v>
      </c>
      <c r="K27" s="243"/>
      <c r="L27" s="273"/>
      <c r="M27" s="272" t="s">
        <v>167</v>
      </c>
      <c r="N27" s="279">
        <f>N3+N26-O26</f>
        <v>411.2</v>
      </c>
      <c r="O27" s="243"/>
      <c r="P27" s="272" t="s">
        <v>167</v>
      </c>
      <c r="Q27" s="279">
        <f>Q3+Q26-R26</f>
        <v>0</v>
      </c>
      <c r="R27" s="243"/>
      <c r="S27" s="267"/>
      <c r="T27" s="272"/>
      <c r="U27" s="281"/>
      <c r="V27" s="243"/>
      <c r="X27" s="272" t="s">
        <v>167</v>
      </c>
      <c r="Y27" s="279">
        <f>Y3+Y26-Z26</f>
        <v>0</v>
      </c>
      <c r="Z27" s="243"/>
      <c r="AC27" s="272" t="s">
        <v>167</v>
      </c>
      <c r="AD27" s="279">
        <f>AD3+AD26-AE26</f>
        <v>0</v>
      </c>
      <c r="AE27" s="243"/>
      <c r="AG27" s="247" t="s">
        <v>167</v>
      </c>
      <c r="AH27" s="248">
        <f>AH3+AH26-AI26</f>
        <v>20.56</v>
      </c>
      <c r="AI27" s="249"/>
      <c r="AK27" s="247" t="s">
        <v>167</v>
      </c>
      <c r="AL27" s="248">
        <f>AL3+AL26-AM26</f>
        <v>0</v>
      </c>
      <c r="AM27" s="249"/>
      <c r="AO27" s="247" t="s">
        <v>167</v>
      </c>
      <c r="AP27" s="248">
        <f>AQ26-AP26</f>
        <v>0</v>
      </c>
      <c r="AQ27" s="249"/>
      <c r="AS27" s="272" t="s">
        <v>167</v>
      </c>
      <c r="AT27" s="279">
        <f>AT26-AU26</f>
        <v>0</v>
      </c>
      <c r="AU27" s="243"/>
    </row>
    <row r="28" ht="12.75" spans="1:47">
      <c r="A28" s="272"/>
      <c r="B28" s="279"/>
      <c r="C28" s="279"/>
    </row>
    <row r="29" ht="12.75" spans="1:47">
      <c r="A29" s="272"/>
      <c r="B29" s="279"/>
      <c r="C29" s="243"/>
      <c r="Q29" s="282"/>
    </row>
    <row r="30" spans="1:47">
      <c r="B30" s="279"/>
      <c r="C30" s="279"/>
    </row>
    <row r="31" spans="1:47">
      <c r="B31" s="279"/>
      <c r="C31" s="243"/>
    </row>
  </sheetData>
  <mergeCells count="12">
    <mergeCell ref="B1:C1"/>
    <mergeCell ref="F1:G1"/>
    <mergeCell ref="J1:K1"/>
    <mergeCell ref="N1:O1"/>
    <mergeCell ref="Q1:R1"/>
    <mergeCell ref="U1:V1"/>
    <mergeCell ref="Y1:Z1"/>
    <mergeCell ref="AD1:AE1"/>
    <mergeCell ref="AH1:AI1"/>
    <mergeCell ref="AL1:AM1"/>
    <mergeCell ref="AP1:AQ1"/>
    <mergeCell ref="AT1:AU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G3" sqref="G3"/>
    </sheetView>
  </sheetViews>
  <sheetFormatPr defaultColWidth="9" defaultRowHeight="12.35"/>
  <cols>
    <col min="2" max="2" width="16.5714285714286" customWidth="1"/>
    <col min="3" max="3" width="16.4285714285714" customWidth="1"/>
    <col min="5" max="5" width="16.5714285714286" customWidth="1"/>
    <col min="6" max="6" width="17.8571428571429" customWidth="1"/>
    <col min="7" max="7" width="19.2857142857143" customWidth="1"/>
    <col min="11" max="11" width="19.2857142857143" customWidth="1"/>
    <col min="12" max="12" width="18.7142857142857" customWidth="1"/>
    <col min="15" max="15" width="15.1428571428571" customWidth="1"/>
    <col min="16" max="16" width="17.1428571428571" customWidth="1"/>
    <col min="17" max="17" width="19.1428571428571" customWidth="1"/>
  </cols>
  <sheetData>
    <row r="1" ht="13.5" spans="1:17">
      <c r="A1" s="252"/>
      <c r="B1" s="253" t="s">
        <v>71</v>
      </c>
      <c r="C1" s="254"/>
      <c r="D1" s="255"/>
      <c r="E1" s="252"/>
      <c r="F1" s="253" t="s">
        <v>68</v>
      </c>
      <c r="G1" s="254"/>
      <c r="J1" s="228"/>
      <c r="K1" s="229" t="s">
        <v>70</v>
      </c>
      <c r="L1" s="230"/>
      <c r="O1" s="228"/>
      <c r="P1" s="229" t="s">
        <v>168</v>
      </c>
      <c r="Q1" s="230"/>
    </row>
    <row r="2" ht="13.5" spans="1:17">
      <c r="A2" s="256"/>
      <c r="B2" s="257" t="s">
        <v>163</v>
      </c>
      <c r="C2" s="258" t="s">
        <v>169</v>
      </c>
      <c r="D2" s="255"/>
      <c r="E2" s="256"/>
      <c r="F2" s="257" t="s">
        <v>163</v>
      </c>
      <c r="G2" s="258" t="s">
        <v>164</v>
      </c>
      <c r="J2" s="234"/>
      <c r="K2" s="235" t="s">
        <v>163</v>
      </c>
      <c r="L2" s="236" t="s">
        <v>164</v>
      </c>
      <c r="O2" s="234"/>
      <c r="P2" s="235" t="s">
        <v>163</v>
      </c>
      <c r="Q2" s="236" t="s">
        <v>164</v>
      </c>
    </row>
    <row r="3" ht="13.5" spans="1:17">
      <c r="A3" s="240" t="s">
        <v>165</v>
      </c>
      <c r="B3" s="259"/>
      <c r="C3" s="260"/>
      <c r="D3" s="255"/>
      <c r="E3" s="240" t="s">
        <v>165</v>
      </c>
      <c r="F3" s="259"/>
      <c r="G3" s="260"/>
      <c r="J3" s="240" t="s">
        <v>165</v>
      </c>
      <c r="K3" s="238"/>
      <c r="L3" s="239"/>
      <c r="O3" s="240" t="s">
        <v>165</v>
      </c>
      <c r="P3" s="238"/>
      <c r="Q3" s="239"/>
    </row>
    <row r="4" ht="13.5" spans="1:17">
      <c r="A4" s="256"/>
      <c r="B4" s="259"/>
      <c r="C4" s="260">
        <v>0</v>
      </c>
      <c r="D4" s="255"/>
      <c r="E4" s="256"/>
      <c r="F4" s="259"/>
      <c r="G4" s="260">
        <v>0</v>
      </c>
      <c r="J4" s="234"/>
      <c r="K4" s="238"/>
      <c r="L4" s="239">
        <v>0</v>
      </c>
      <c r="O4" s="234"/>
      <c r="P4" s="238"/>
      <c r="Q4" s="239">
        <v>0</v>
      </c>
    </row>
    <row r="5" ht="13.5" spans="1:17">
      <c r="A5" s="256"/>
      <c r="B5" s="259"/>
      <c r="C5" s="260"/>
      <c r="D5" s="255"/>
      <c r="E5" s="256"/>
      <c r="F5" s="259"/>
      <c r="G5" s="260"/>
      <c r="J5" s="234"/>
      <c r="K5" s="238"/>
      <c r="L5" s="239"/>
      <c r="O5" s="234"/>
      <c r="P5" s="238"/>
      <c r="Q5" s="239"/>
    </row>
    <row r="6" ht="13.5" spans="1:17">
      <c r="A6" s="256"/>
      <c r="B6" s="259"/>
      <c r="C6" s="260"/>
      <c r="D6" s="255"/>
      <c r="E6" s="256"/>
      <c r="F6" s="259"/>
      <c r="G6" s="260"/>
      <c r="J6" s="234"/>
      <c r="K6" s="243"/>
      <c r="L6" s="239"/>
      <c r="O6" s="234"/>
      <c r="P6" s="243"/>
      <c r="Q6" s="239"/>
    </row>
    <row r="7" ht="13.5" spans="1:17">
      <c r="A7" s="256"/>
      <c r="B7" s="259"/>
      <c r="C7" s="260"/>
      <c r="D7" s="255"/>
      <c r="E7" s="256"/>
      <c r="F7" s="259"/>
      <c r="G7" s="260"/>
      <c r="J7" s="234"/>
      <c r="K7" s="238"/>
      <c r="L7" s="239"/>
      <c r="O7" s="234"/>
      <c r="P7" s="238"/>
      <c r="Q7" s="239"/>
    </row>
    <row r="8" ht="13.5" spans="1:17">
      <c r="A8" s="256"/>
      <c r="B8" s="259"/>
      <c r="C8" s="260"/>
      <c r="D8" s="255"/>
      <c r="E8" s="256"/>
      <c r="F8" s="259"/>
      <c r="G8" s="260"/>
      <c r="J8" s="234"/>
      <c r="K8" s="238"/>
      <c r="L8" s="239"/>
      <c r="O8" s="234"/>
      <c r="P8" s="238"/>
      <c r="Q8" s="239"/>
    </row>
    <row r="9" ht="13.5" spans="1:17">
      <c r="A9" s="256"/>
      <c r="B9" s="259"/>
      <c r="C9" s="260"/>
      <c r="D9" s="255"/>
      <c r="E9" s="256"/>
      <c r="F9" s="259"/>
      <c r="G9" s="260"/>
      <c r="J9" s="234"/>
      <c r="K9" s="238"/>
      <c r="L9" s="239"/>
      <c r="O9" s="234"/>
      <c r="P9" s="238"/>
      <c r="Q9" s="239"/>
    </row>
    <row r="10" ht="13.5" spans="1:17">
      <c r="A10" s="256"/>
      <c r="B10" s="259"/>
      <c r="C10" s="260"/>
      <c r="D10" s="255"/>
      <c r="E10" s="256"/>
      <c r="F10" s="259"/>
      <c r="G10" s="260"/>
      <c r="J10" s="234"/>
      <c r="K10" s="238"/>
      <c r="L10" s="239"/>
      <c r="O10" s="234"/>
      <c r="P10" s="238"/>
      <c r="Q10" s="239"/>
    </row>
    <row r="11" ht="13.5" spans="1:17">
      <c r="A11" s="256"/>
      <c r="B11" s="259"/>
      <c r="C11" s="260"/>
      <c r="D11" s="255"/>
      <c r="E11" s="256"/>
      <c r="F11" s="259"/>
      <c r="G11" s="260"/>
      <c r="J11" s="234"/>
      <c r="K11" s="238"/>
      <c r="L11" s="239"/>
      <c r="O11" s="234"/>
      <c r="P11" s="238"/>
      <c r="Q11" s="239"/>
    </row>
    <row r="12" ht="13.5" spans="1:17">
      <c r="A12" s="256"/>
      <c r="B12" s="259"/>
      <c r="C12" s="260"/>
      <c r="D12" s="255"/>
      <c r="E12" s="256"/>
      <c r="F12" s="259"/>
      <c r="G12" s="260"/>
      <c r="J12" s="234"/>
      <c r="K12" s="238"/>
      <c r="L12" s="239"/>
      <c r="O12" s="234"/>
      <c r="P12" s="238"/>
      <c r="Q12" s="239"/>
    </row>
    <row r="13" ht="13.5" spans="1:17">
      <c r="A13" s="256"/>
      <c r="B13" s="259"/>
      <c r="C13" s="260"/>
      <c r="D13" s="255"/>
      <c r="E13" s="256"/>
      <c r="F13" s="259"/>
      <c r="G13" s="260"/>
      <c r="J13" s="234"/>
      <c r="K13" s="238"/>
      <c r="L13" s="239"/>
      <c r="O13" s="234"/>
      <c r="P13" s="238"/>
      <c r="Q13" s="239"/>
    </row>
    <row r="14" ht="13.5" spans="1:17">
      <c r="A14" s="256"/>
      <c r="B14" s="259"/>
      <c r="C14" s="260"/>
      <c r="D14" s="255"/>
      <c r="E14" s="256"/>
      <c r="F14" s="259"/>
      <c r="G14" s="260"/>
      <c r="J14" s="234"/>
      <c r="K14" s="238"/>
      <c r="L14" s="239"/>
      <c r="O14" s="234"/>
      <c r="P14" s="238"/>
      <c r="Q14" s="239"/>
    </row>
    <row r="15" ht="13.5" spans="1:17">
      <c r="A15" s="256"/>
      <c r="B15" s="259"/>
      <c r="C15" s="260"/>
      <c r="D15" s="255"/>
      <c r="E15" s="256"/>
      <c r="F15" s="259"/>
      <c r="G15" s="260"/>
      <c r="J15" s="234"/>
      <c r="K15" s="238"/>
      <c r="L15" s="239"/>
      <c r="O15" s="234"/>
      <c r="P15" s="238"/>
      <c r="Q15" s="239"/>
    </row>
    <row r="16" ht="13.5" spans="1:17">
      <c r="A16" s="256"/>
      <c r="B16" s="259"/>
      <c r="C16" s="260"/>
      <c r="D16" s="255"/>
      <c r="E16" s="256"/>
      <c r="F16" s="259"/>
      <c r="G16" s="260"/>
      <c r="J16" s="234"/>
      <c r="K16" s="238"/>
      <c r="L16" s="239"/>
      <c r="O16" s="234"/>
      <c r="P16" s="238"/>
      <c r="Q16" s="239"/>
    </row>
    <row r="17" ht="13.5" spans="1:17">
      <c r="A17" s="256"/>
      <c r="B17" s="259"/>
      <c r="C17" s="260"/>
      <c r="D17" s="255"/>
      <c r="E17" s="256"/>
      <c r="F17" s="259"/>
      <c r="G17" s="260"/>
      <c r="J17" s="234"/>
      <c r="K17" s="238"/>
      <c r="L17" s="239"/>
      <c r="O17" s="234"/>
      <c r="P17" s="238"/>
      <c r="Q17" s="239"/>
    </row>
    <row r="18" ht="13.5" spans="1:17">
      <c r="A18" s="256"/>
      <c r="B18" s="259"/>
      <c r="C18" s="260"/>
      <c r="D18" s="255"/>
      <c r="E18" s="256"/>
      <c r="F18" s="259"/>
      <c r="G18" s="260"/>
      <c r="J18" s="234"/>
      <c r="K18" s="238"/>
      <c r="L18" s="239"/>
      <c r="O18" s="234"/>
      <c r="P18" s="238"/>
      <c r="Q18" s="239"/>
    </row>
    <row r="19" ht="13.5" spans="1:17">
      <c r="A19" s="256"/>
      <c r="B19" s="259"/>
      <c r="C19" s="260"/>
      <c r="D19" s="255"/>
      <c r="E19" s="256"/>
      <c r="F19" s="259"/>
      <c r="G19" s="260"/>
      <c r="J19" s="234"/>
      <c r="K19" s="238"/>
      <c r="L19" s="239"/>
      <c r="O19" s="234"/>
      <c r="P19" s="238"/>
      <c r="Q19" s="239"/>
    </row>
    <row r="20" ht="13.5" spans="1:17">
      <c r="A20" s="240" t="s">
        <v>166</v>
      </c>
      <c r="B20" s="261">
        <f t="shared" ref="B20:C20" si="0">SUM(B4:B19)</f>
        <v>0</v>
      </c>
      <c r="C20" s="261">
        <f t="shared" si="0"/>
        <v>0</v>
      </c>
      <c r="D20" s="255"/>
      <c r="E20" s="240" t="s">
        <v>166</v>
      </c>
      <c r="F20" s="261">
        <f t="shared" ref="F20:G20" si="1">SUM(F4:F19)</f>
        <v>0</v>
      </c>
      <c r="G20" s="261">
        <f t="shared" si="1"/>
        <v>0</v>
      </c>
      <c r="J20" s="240" t="s">
        <v>166</v>
      </c>
      <c r="K20" s="244">
        <f t="shared" ref="K20:L20" si="2">SUM(K4:K19)</f>
        <v>0</v>
      </c>
      <c r="L20" s="245">
        <f t="shared" si="2"/>
        <v>0</v>
      </c>
      <c r="O20" s="240" t="s">
        <v>166</v>
      </c>
      <c r="P20" s="244">
        <f t="shared" ref="P20:Q20" si="3">SUM(P4:P19)</f>
        <v>0</v>
      </c>
      <c r="Q20" s="245">
        <f t="shared" si="3"/>
        <v>0</v>
      </c>
    </row>
    <row r="21" ht="14.25" spans="1:17">
      <c r="A21" s="247" t="s">
        <v>167</v>
      </c>
      <c r="B21" s="262">
        <f>C3+C20-B20</f>
        <v>0</v>
      </c>
      <c r="C21" s="263"/>
      <c r="D21" s="255"/>
      <c r="E21" s="247" t="s">
        <v>167</v>
      </c>
      <c r="F21" s="262">
        <f>G3+G20-F20</f>
        <v>0</v>
      </c>
      <c r="G21" s="263"/>
      <c r="J21" s="247" t="s">
        <v>167</v>
      </c>
      <c r="K21" s="248">
        <f>L3+L20-K20</f>
        <v>0</v>
      </c>
      <c r="L21" s="249"/>
      <c r="O21" s="247" t="s">
        <v>167</v>
      </c>
      <c r="P21" s="248">
        <f>Q3+Q20-P20</f>
        <v>0</v>
      </c>
      <c r="Q21" s="249"/>
    </row>
  </sheetData>
  <mergeCells count="4">
    <mergeCell ref="B1:C1"/>
    <mergeCell ref="F1:G1"/>
    <mergeCell ref="K1:L1"/>
    <mergeCell ref="P1:Q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5"/>
  <sheetViews>
    <sheetView workbookViewId="0">
      <selection activeCell="E9" sqref="E9:E10"/>
    </sheetView>
  </sheetViews>
  <sheetFormatPr defaultColWidth="9" defaultRowHeight="12.35"/>
  <cols>
    <col min="2" max="2" width="14.8571428571429" customWidth="1"/>
    <col min="3" max="3" width="15.1428571428571" customWidth="1"/>
    <col min="5" max="5" width="16.5714285714286" customWidth="1"/>
    <col min="6" max="6" width="12.5714285714286" customWidth="1"/>
    <col min="7" max="7" width="13.4285714285714" customWidth="1"/>
    <col min="9" max="9" width="16" customWidth="1"/>
    <col min="10" max="10" width="13.8571428571429" customWidth="1"/>
    <col min="11" max="11" width="12.5714285714286" customWidth="1"/>
    <col min="13" max="13" width="16.5714285714286" customWidth="1"/>
    <col min="14" max="14" width="19.5714285714286" customWidth="1"/>
    <col min="15" max="16" width="16.8571428571429" customWidth="1"/>
    <col min="17" max="17" width="10.8571428571429" customWidth="1"/>
    <col min="18" max="18" width="14.5714285714286" customWidth="1"/>
    <col min="19" max="20" width="16.5714285714286" customWidth="1"/>
    <col min="21" max="22" width="17.2857142857143" customWidth="1"/>
    <col min="23" max="23" width="14.5714285714286" customWidth="1"/>
    <col min="24" max="24" width="18.1428571428571" customWidth="1"/>
    <col min="25" max="25" width="18.2857142857143" customWidth="1"/>
    <col min="26" max="26" width="18" customWidth="1"/>
    <col min="27" max="27" width="18.8571428571429" customWidth="1"/>
    <col min="28" max="28" width="15.5714285714286" customWidth="1"/>
    <col min="29" max="29" width="17.8571428571429" customWidth="1"/>
    <col min="30" max="30" width="18" customWidth="1"/>
    <col min="31" max="31" width="16.5714285714286" customWidth="1"/>
    <col min="32" max="32" width="18.4285714285714" customWidth="1"/>
    <col min="33" max="33" width="16.8571428571429" customWidth="1"/>
    <col min="34" max="34" width="13.8571428571429" customWidth="1"/>
    <col min="35" max="35" width="12.7142857142857" customWidth="1"/>
    <col min="36" max="36" width="17.5714285714286" customWidth="1"/>
    <col min="37" max="37" width="18.1428571428571" customWidth="1"/>
    <col min="38" max="38" width="14.1428571428571" customWidth="1"/>
    <col min="39" max="39" width="15.8571428571429" customWidth="1"/>
    <col min="40" max="40" width="17" customWidth="1"/>
    <col min="41" max="41" width="16.5714285714286" customWidth="1"/>
    <col min="42" max="42" width="14.5714285714286" customWidth="1"/>
    <col min="43" max="43" width="15" customWidth="1"/>
    <col min="44" max="44" width="15.8571428571429" customWidth="1"/>
    <col min="45" max="45" width="14.8571428571429" customWidth="1"/>
    <col min="46" max="46" width="13.8571428571429" customWidth="1"/>
    <col min="47" max="47" width="17.7142857142857" customWidth="1"/>
    <col min="50" max="50" width="14.8571428571429" customWidth="1"/>
    <col min="51" max="51" width="12" customWidth="1"/>
  </cols>
  <sheetData>
    <row r="1" ht="13.5" spans="1:51">
      <c r="A1" s="228"/>
      <c r="B1" s="229" t="s">
        <v>100</v>
      </c>
      <c r="C1" s="230"/>
      <c r="D1" s="231"/>
      <c r="E1" s="228"/>
      <c r="F1" s="229" t="s">
        <v>109</v>
      </c>
      <c r="G1" s="230"/>
      <c r="H1" s="231"/>
      <c r="I1" s="228"/>
      <c r="J1" s="229" t="s">
        <v>107</v>
      </c>
      <c r="K1" s="230"/>
      <c r="L1" s="231"/>
      <c r="M1" s="228"/>
      <c r="N1" s="229" t="s">
        <v>170</v>
      </c>
      <c r="O1" s="230"/>
      <c r="P1" s="232"/>
      <c r="Q1" s="228"/>
      <c r="R1" s="229" t="s">
        <v>171</v>
      </c>
      <c r="S1" s="230"/>
      <c r="T1" s="232"/>
      <c r="U1" s="228"/>
      <c r="V1" s="229" t="s">
        <v>103</v>
      </c>
      <c r="W1" s="230"/>
      <c r="X1" s="232"/>
      <c r="Y1" s="228"/>
      <c r="Z1" s="229" t="s">
        <v>104</v>
      </c>
      <c r="AA1" s="230"/>
      <c r="AB1" s="233"/>
      <c r="AC1" s="228"/>
      <c r="AD1" s="229" t="s">
        <v>105</v>
      </c>
      <c r="AE1" s="230"/>
      <c r="AG1" s="228"/>
      <c r="AH1" s="229" t="s">
        <v>172</v>
      </c>
      <c r="AI1" s="230"/>
      <c r="AK1" s="228"/>
      <c r="AL1" s="229" t="s">
        <v>94</v>
      </c>
      <c r="AM1" s="230"/>
      <c r="AO1" s="228"/>
      <c r="AP1" s="229" t="s">
        <v>95</v>
      </c>
      <c r="AQ1" s="230"/>
      <c r="AS1" s="228"/>
      <c r="AT1" s="229" t="s">
        <v>98</v>
      </c>
      <c r="AU1" s="230"/>
      <c r="AW1" s="228"/>
      <c r="AX1" s="229" t="s">
        <v>111</v>
      </c>
      <c r="AY1" s="230"/>
    </row>
    <row r="2" ht="13.5" spans="1:51">
      <c r="A2" s="234"/>
      <c r="B2" s="235" t="s">
        <v>163</v>
      </c>
      <c r="C2" s="236" t="s">
        <v>169</v>
      </c>
      <c r="D2" s="231"/>
      <c r="E2" s="234"/>
      <c r="F2" s="235" t="s">
        <v>163</v>
      </c>
      <c r="G2" s="236" t="s">
        <v>169</v>
      </c>
      <c r="H2" s="231"/>
      <c r="I2" s="234"/>
      <c r="J2" s="235" t="s">
        <v>163</v>
      </c>
      <c r="K2" s="236" t="s">
        <v>169</v>
      </c>
      <c r="L2" s="231"/>
      <c r="M2" s="234"/>
      <c r="N2" s="235" t="s">
        <v>161</v>
      </c>
      <c r="O2" s="236" t="s">
        <v>173</v>
      </c>
      <c r="P2" s="237"/>
      <c r="Q2" s="234"/>
      <c r="R2" s="235" t="s">
        <v>161</v>
      </c>
      <c r="S2" s="236" t="s">
        <v>173</v>
      </c>
      <c r="T2" s="237"/>
      <c r="U2" s="234"/>
      <c r="V2" s="235" t="s">
        <v>161</v>
      </c>
      <c r="W2" s="236" t="s">
        <v>162</v>
      </c>
      <c r="X2" s="237"/>
      <c r="Y2" s="234"/>
      <c r="Z2" s="235" t="s">
        <v>161</v>
      </c>
      <c r="AA2" s="236" t="s">
        <v>162</v>
      </c>
      <c r="AB2" s="237"/>
      <c r="AC2" s="234"/>
      <c r="AD2" s="235" t="s">
        <v>161</v>
      </c>
      <c r="AE2" s="236" t="s">
        <v>162</v>
      </c>
      <c r="AG2" s="234"/>
      <c r="AH2" s="235" t="s">
        <v>161</v>
      </c>
      <c r="AI2" s="236" t="s">
        <v>162</v>
      </c>
      <c r="AK2" s="234"/>
      <c r="AL2" s="235" t="s">
        <v>163</v>
      </c>
      <c r="AM2" s="236" t="s">
        <v>169</v>
      </c>
      <c r="AO2" s="234"/>
      <c r="AP2" s="235" t="s">
        <v>163</v>
      </c>
      <c r="AQ2" s="236" t="s">
        <v>169</v>
      </c>
      <c r="AS2" s="234"/>
      <c r="AT2" s="235" t="s">
        <v>163</v>
      </c>
      <c r="AU2" s="236" t="s">
        <v>169</v>
      </c>
      <c r="AW2" s="234"/>
      <c r="AX2" s="235" t="s">
        <v>163</v>
      </c>
      <c r="AY2" s="236" t="s">
        <v>169</v>
      </c>
    </row>
    <row r="3" ht="13.5" spans="1:51">
      <c r="A3" s="234"/>
      <c r="B3" s="238"/>
      <c r="C3" s="239">
        <v>0</v>
      </c>
      <c r="D3" s="231"/>
      <c r="E3" s="234"/>
      <c r="F3" s="238"/>
      <c r="G3" s="239">
        <v>0</v>
      </c>
      <c r="H3" s="231"/>
      <c r="I3" s="234"/>
      <c r="J3" s="238"/>
      <c r="K3" s="239">
        <v>0</v>
      </c>
      <c r="L3" s="231"/>
      <c r="M3" s="240"/>
      <c r="N3" s="238">
        <f>'商品（各实体用）'!L186</f>
        <v>0</v>
      </c>
      <c r="O3" s="239">
        <v>0</v>
      </c>
      <c r="P3" s="241"/>
      <c r="Q3" s="234"/>
      <c r="R3" s="238"/>
      <c r="S3" s="239">
        <v>0</v>
      </c>
      <c r="T3" s="241"/>
      <c r="U3" s="234"/>
      <c r="V3" s="238"/>
      <c r="W3" s="239">
        <v>0</v>
      </c>
      <c r="X3" s="241"/>
      <c r="Y3" s="234"/>
      <c r="Z3" s="238"/>
      <c r="AA3" s="239">
        <v>0</v>
      </c>
      <c r="AB3" s="241"/>
      <c r="AC3" s="234"/>
      <c r="AD3" s="238"/>
      <c r="AE3" s="239">
        <v>0</v>
      </c>
      <c r="AG3" s="234"/>
      <c r="AH3" s="238"/>
      <c r="AI3" s="239">
        <v>0</v>
      </c>
      <c r="AK3" s="234"/>
      <c r="AL3" s="238"/>
      <c r="AM3" s="239">
        <v>0</v>
      </c>
      <c r="AO3" s="234"/>
      <c r="AP3" s="238"/>
      <c r="AQ3" s="239">
        <v>0</v>
      </c>
      <c r="AS3" s="234"/>
      <c r="AT3" s="238"/>
      <c r="AU3" s="239">
        <v>0</v>
      </c>
      <c r="AW3" s="234"/>
      <c r="AX3" s="238"/>
      <c r="AY3" s="239">
        <v>0</v>
      </c>
    </row>
    <row r="4" ht="13.5" spans="1:51">
      <c r="A4" s="234"/>
      <c r="B4" s="238"/>
      <c r="C4" s="239"/>
      <c r="D4" s="231"/>
      <c r="E4" s="234"/>
      <c r="F4" s="238"/>
      <c r="G4" s="239"/>
      <c r="H4" s="231"/>
      <c r="I4" s="234"/>
      <c r="J4" s="238"/>
      <c r="K4" s="239"/>
      <c r="L4" s="231"/>
      <c r="M4" s="240"/>
      <c r="N4" s="242"/>
      <c r="O4" s="239"/>
      <c r="P4" s="241"/>
      <c r="Q4" s="234"/>
      <c r="R4" s="238"/>
      <c r="S4" s="239"/>
      <c r="T4" s="241"/>
      <c r="U4" s="234"/>
      <c r="V4" s="238"/>
      <c r="W4" s="239"/>
      <c r="X4" s="241"/>
      <c r="Y4" s="234"/>
      <c r="Z4" s="238"/>
      <c r="AA4" s="239"/>
      <c r="AB4" s="241"/>
      <c r="AC4" s="234"/>
      <c r="AD4" s="238"/>
      <c r="AE4" s="239"/>
      <c r="AG4" s="234"/>
      <c r="AH4" s="238"/>
      <c r="AI4" s="239"/>
      <c r="AK4" s="234"/>
      <c r="AL4" s="238"/>
      <c r="AM4" s="239"/>
      <c r="AO4" s="234"/>
      <c r="AP4" s="238"/>
      <c r="AQ4" s="239"/>
      <c r="AS4" s="234"/>
      <c r="AT4" s="238"/>
      <c r="AU4" s="239"/>
      <c r="AW4" s="234"/>
      <c r="AX4" s="238"/>
      <c r="AY4" s="239"/>
    </row>
    <row r="5" ht="13.5" spans="1:51">
      <c r="A5" s="234"/>
      <c r="B5" s="238"/>
      <c r="C5" s="239"/>
      <c r="D5" s="231"/>
      <c r="E5" s="234"/>
      <c r="F5" s="238"/>
      <c r="G5" s="239"/>
      <c r="H5" s="231"/>
      <c r="I5" s="234"/>
      <c r="J5" s="238"/>
      <c r="K5" s="239"/>
      <c r="L5" s="231"/>
      <c r="M5" s="240"/>
      <c r="N5" s="242"/>
      <c r="O5" s="239"/>
      <c r="P5" s="241"/>
      <c r="Q5" s="234"/>
      <c r="R5" s="243"/>
      <c r="S5" s="239"/>
      <c r="T5" s="241"/>
      <c r="U5" s="234"/>
      <c r="V5" s="243"/>
      <c r="W5" s="239"/>
      <c r="X5" s="241"/>
      <c r="Y5" s="234"/>
      <c r="Z5" s="243"/>
      <c r="AA5" s="239"/>
      <c r="AB5" s="241"/>
      <c r="AC5" s="234"/>
      <c r="AD5" s="243"/>
      <c r="AE5" s="239"/>
      <c r="AG5" s="234"/>
      <c r="AH5" s="243"/>
      <c r="AI5" s="239"/>
      <c r="AK5" s="234"/>
      <c r="AL5" s="243"/>
      <c r="AM5" s="239"/>
      <c r="AO5" s="234"/>
      <c r="AP5" s="243"/>
      <c r="AQ5" s="239"/>
      <c r="AS5" s="234"/>
      <c r="AT5" s="243"/>
      <c r="AU5" s="239"/>
      <c r="AW5" s="234"/>
      <c r="AX5" s="243"/>
      <c r="AY5" s="239"/>
    </row>
    <row r="6" ht="13.5" spans="1:51">
      <c r="A6" s="234"/>
      <c r="B6" s="238"/>
      <c r="C6" s="239"/>
      <c r="D6" s="231"/>
      <c r="E6" s="234"/>
      <c r="F6" s="238"/>
      <c r="G6" s="239"/>
      <c r="H6" s="231"/>
      <c r="I6" s="234"/>
      <c r="J6" s="238"/>
      <c r="K6" s="239"/>
      <c r="L6" s="231"/>
      <c r="M6" s="240"/>
      <c r="N6" s="238"/>
      <c r="O6" s="239"/>
      <c r="P6" s="241"/>
      <c r="Q6" s="234"/>
      <c r="R6" s="238"/>
      <c r="S6" s="239"/>
      <c r="T6" s="241"/>
      <c r="U6" s="234"/>
      <c r="V6" s="238"/>
      <c r="W6" s="239"/>
      <c r="X6" s="241"/>
      <c r="Y6" s="234"/>
      <c r="Z6" s="238"/>
      <c r="AA6" s="239"/>
      <c r="AB6" s="241"/>
      <c r="AC6" s="234"/>
      <c r="AD6" s="238"/>
      <c r="AE6" s="239"/>
      <c r="AG6" s="234"/>
      <c r="AH6" s="238"/>
      <c r="AI6" s="239"/>
      <c r="AK6" s="234"/>
      <c r="AL6" s="238"/>
      <c r="AM6" s="239"/>
      <c r="AO6" s="234"/>
      <c r="AP6" s="238"/>
      <c r="AQ6" s="239"/>
      <c r="AS6" s="234"/>
      <c r="AT6" s="238"/>
      <c r="AU6" s="239"/>
      <c r="AW6" s="234"/>
      <c r="AX6" s="238"/>
      <c r="AY6" s="239"/>
    </row>
    <row r="7" ht="13.5" spans="1:51">
      <c r="A7" s="234"/>
      <c r="B7" s="238"/>
      <c r="C7" s="239"/>
      <c r="D7" s="231"/>
      <c r="E7" s="234"/>
      <c r="F7" s="238"/>
      <c r="G7" s="239"/>
      <c r="H7" s="231"/>
      <c r="I7" s="234"/>
      <c r="J7" s="238"/>
      <c r="K7" s="239"/>
      <c r="L7" s="231"/>
      <c r="M7" s="240"/>
      <c r="N7" s="242"/>
      <c r="O7" s="239"/>
      <c r="P7" s="241"/>
      <c r="Q7" s="234"/>
      <c r="R7" s="238"/>
      <c r="S7" s="239"/>
      <c r="T7" s="241"/>
      <c r="U7" s="234"/>
      <c r="V7" s="238"/>
      <c r="W7" s="239"/>
      <c r="X7" s="241"/>
      <c r="Y7" s="234"/>
      <c r="Z7" s="238"/>
      <c r="AA7" s="239"/>
      <c r="AB7" s="241"/>
      <c r="AC7" s="234"/>
      <c r="AD7" s="238"/>
      <c r="AE7" s="239"/>
      <c r="AG7" s="234"/>
      <c r="AH7" s="238"/>
      <c r="AI7" s="239"/>
      <c r="AK7" s="234"/>
      <c r="AL7" s="238"/>
      <c r="AM7" s="239"/>
      <c r="AO7" s="234"/>
      <c r="AP7" s="238"/>
      <c r="AQ7" s="239"/>
      <c r="AS7" s="234"/>
      <c r="AT7" s="238"/>
      <c r="AU7" s="239"/>
      <c r="AW7" s="234"/>
      <c r="AX7" s="238"/>
      <c r="AY7" s="239"/>
    </row>
    <row r="8" ht="13.5" spans="1:51">
      <c r="A8" s="234"/>
      <c r="B8" s="238"/>
      <c r="C8" s="239"/>
      <c r="D8" s="231"/>
      <c r="E8" s="234"/>
      <c r="F8" s="238"/>
      <c r="G8" s="239"/>
      <c r="H8" s="231"/>
      <c r="I8" s="234"/>
      <c r="J8" s="238"/>
      <c r="K8" s="239"/>
      <c r="L8" s="231"/>
      <c r="M8" s="240"/>
      <c r="N8" s="242"/>
      <c r="O8" s="239"/>
      <c r="P8" s="241"/>
      <c r="Q8" s="234"/>
      <c r="R8" s="238"/>
      <c r="S8" s="239"/>
      <c r="T8" s="241"/>
      <c r="U8" s="234"/>
      <c r="V8" s="238"/>
      <c r="W8" s="239"/>
      <c r="X8" s="241"/>
      <c r="Y8" s="234"/>
      <c r="Z8" s="238"/>
      <c r="AA8" s="239"/>
      <c r="AB8" s="241"/>
      <c r="AC8" s="234"/>
      <c r="AD8" s="238"/>
      <c r="AE8" s="239"/>
      <c r="AG8" s="234"/>
      <c r="AH8" s="238"/>
      <c r="AI8" s="239"/>
      <c r="AK8" s="234"/>
      <c r="AL8" s="238"/>
      <c r="AM8" s="239"/>
      <c r="AO8" s="234"/>
      <c r="AP8" s="238"/>
      <c r="AQ8" s="239"/>
      <c r="AS8" s="234"/>
      <c r="AT8" s="238"/>
      <c r="AU8" s="239"/>
      <c r="AW8" s="234"/>
      <c r="AX8" s="238"/>
      <c r="AY8" s="239"/>
    </row>
    <row r="9" ht="13.5" spans="1:51">
      <c r="A9" s="234"/>
      <c r="B9" s="238"/>
      <c r="C9" s="239"/>
      <c r="D9" s="231"/>
      <c r="E9" s="234"/>
      <c r="F9" s="238"/>
      <c r="G9" s="239"/>
      <c r="H9" s="231"/>
      <c r="I9" s="234"/>
      <c r="J9" s="238"/>
      <c r="K9" s="239"/>
      <c r="L9" s="231"/>
      <c r="M9" s="240"/>
      <c r="N9" s="238"/>
      <c r="O9" s="239"/>
      <c r="P9" s="241"/>
      <c r="Q9" s="234"/>
      <c r="R9" s="238"/>
      <c r="S9" s="239"/>
      <c r="T9" s="241"/>
      <c r="U9" s="234"/>
      <c r="V9" s="238"/>
      <c r="W9" s="239"/>
      <c r="X9" s="241"/>
      <c r="Y9" s="234"/>
      <c r="Z9" s="238"/>
      <c r="AA9" s="239"/>
      <c r="AB9" s="241"/>
      <c r="AC9" s="234"/>
      <c r="AD9" s="238"/>
      <c r="AE9" s="239"/>
      <c r="AG9" s="234"/>
      <c r="AH9" s="238"/>
      <c r="AI9" s="239"/>
      <c r="AK9" s="234"/>
      <c r="AL9" s="238"/>
      <c r="AM9" s="239"/>
      <c r="AO9" s="234"/>
      <c r="AP9" s="238"/>
      <c r="AQ9" s="239"/>
      <c r="AS9" s="234"/>
      <c r="AT9" s="238"/>
      <c r="AU9" s="239"/>
      <c r="AW9" s="234"/>
      <c r="AX9" s="238"/>
      <c r="AY9" s="239"/>
    </row>
    <row r="10" ht="13.5" spans="1:51">
      <c r="A10" s="234"/>
      <c r="B10" s="238"/>
      <c r="C10" s="239"/>
      <c r="D10" s="231"/>
      <c r="E10" s="234"/>
      <c r="F10" s="238"/>
      <c r="G10" s="239"/>
      <c r="H10" s="231"/>
      <c r="I10" s="234"/>
      <c r="J10" s="238"/>
      <c r="K10" s="239"/>
      <c r="L10" s="231"/>
      <c r="M10" s="240"/>
      <c r="N10" s="238"/>
      <c r="O10" s="239"/>
      <c r="P10" s="241"/>
      <c r="Q10" s="234"/>
      <c r="R10" s="238"/>
      <c r="S10" s="239"/>
      <c r="T10" s="241"/>
      <c r="U10" s="234"/>
      <c r="V10" s="238"/>
      <c r="W10" s="239"/>
      <c r="X10" s="241"/>
      <c r="Y10" s="234"/>
      <c r="Z10" s="238"/>
      <c r="AA10" s="239"/>
      <c r="AB10" s="241"/>
      <c r="AC10" s="234"/>
      <c r="AD10" s="238"/>
      <c r="AE10" s="239"/>
      <c r="AG10" s="234"/>
      <c r="AH10" s="238"/>
      <c r="AI10" s="239"/>
      <c r="AK10" s="234"/>
      <c r="AL10" s="238"/>
      <c r="AM10" s="239"/>
      <c r="AO10" s="234"/>
      <c r="AP10" s="238"/>
      <c r="AQ10" s="239"/>
      <c r="AS10" s="234"/>
      <c r="AT10" s="238"/>
      <c r="AU10" s="239"/>
      <c r="AW10" s="234"/>
      <c r="AX10" s="239"/>
      <c r="AY10" s="239"/>
    </row>
    <row r="11" ht="13.5" spans="1:51">
      <c r="A11" s="234"/>
      <c r="B11" s="238"/>
      <c r="C11" s="239"/>
      <c r="D11" s="231"/>
      <c r="E11" s="234"/>
      <c r="F11" s="238"/>
      <c r="G11" s="239"/>
      <c r="H11" s="231"/>
      <c r="I11" s="234"/>
      <c r="J11" s="238"/>
      <c r="K11" s="239"/>
      <c r="L11" s="231"/>
      <c r="M11" s="240"/>
      <c r="N11" s="238"/>
      <c r="O11" s="239"/>
      <c r="P11" s="241"/>
      <c r="Q11" s="234"/>
      <c r="R11" s="238"/>
      <c r="S11" s="239"/>
      <c r="T11" s="241"/>
      <c r="U11" s="234"/>
      <c r="V11" s="238"/>
      <c r="W11" s="239"/>
      <c r="X11" s="241"/>
      <c r="Y11" s="234"/>
      <c r="Z11" s="238"/>
      <c r="AA11" s="239"/>
      <c r="AB11" s="241"/>
      <c r="AC11" s="234"/>
      <c r="AD11" s="238"/>
      <c r="AE11" s="239"/>
      <c r="AG11" s="234"/>
      <c r="AH11" s="238"/>
      <c r="AI11" s="239"/>
      <c r="AK11" s="234"/>
      <c r="AL11" s="238"/>
      <c r="AM11" s="239"/>
      <c r="AO11" s="234"/>
      <c r="AP11" s="238"/>
      <c r="AQ11" s="239"/>
      <c r="AS11" s="234"/>
      <c r="AT11" s="238"/>
      <c r="AU11" s="239"/>
      <c r="AW11" s="234"/>
      <c r="AX11" s="238"/>
      <c r="AY11" s="239"/>
    </row>
    <row r="12" ht="13.5" spans="1:51">
      <c r="A12" s="234"/>
      <c r="B12" s="238"/>
      <c r="C12" s="239"/>
      <c r="D12" s="231"/>
      <c r="E12" s="234"/>
      <c r="F12" s="238"/>
      <c r="G12" s="239"/>
      <c r="H12" s="231"/>
      <c r="I12" s="234"/>
      <c r="J12" s="238"/>
      <c r="K12" s="239"/>
      <c r="L12" s="231"/>
      <c r="M12" s="240"/>
      <c r="N12" s="238"/>
      <c r="O12" s="239"/>
      <c r="P12" s="241"/>
      <c r="Q12" s="234"/>
      <c r="R12" s="238"/>
      <c r="S12" s="239"/>
      <c r="T12" s="241"/>
      <c r="U12" s="234"/>
      <c r="V12" s="238"/>
      <c r="W12" s="239"/>
      <c r="X12" s="241"/>
      <c r="Y12" s="234"/>
      <c r="Z12" s="238"/>
      <c r="AA12" s="239"/>
      <c r="AB12" s="241"/>
      <c r="AC12" s="234"/>
      <c r="AD12" s="238"/>
      <c r="AE12" s="239"/>
      <c r="AG12" s="234"/>
      <c r="AH12" s="238"/>
      <c r="AI12" s="239"/>
      <c r="AK12" s="234"/>
      <c r="AL12" s="238"/>
      <c r="AM12" s="239"/>
      <c r="AO12" s="234"/>
      <c r="AP12" s="238"/>
      <c r="AQ12" s="239"/>
      <c r="AS12" s="234"/>
      <c r="AT12" s="238"/>
      <c r="AU12" s="239"/>
      <c r="AW12" s="234"/>
      <c r="AX12" s="238"/>
      <c r="AY12" s="239"/>
    </row>
    <row r="13" ht="13.5" spans="1:51">
      <c r="A13" s="234"/>
      <c r="B13" s="238"/>
      <c r="C13" s="239"/>
      <c r="D13" s="231"/>
      <c r="E13" s="234"/>
      <c r="F13" s="238"/>
      <c r="G13" s="239"/>
      <c r="H13" s="231"/>
      <c r="I13" s="234"/>
      <c r="J13" s="238"/>
      <c r="K13" s="239"/>
      <c r="L13" s="231"/>
      <c r="M13" s="240"/>
      <c r="N13" s="238"/>
      <c r="O13" s="239"/>
      <c r="P13" s="241"/>
      <c r="Q13" s="234"/>
      <c r="R13" s="238"/>
      <c r="S13" s="239"/>
      <c r="T13" s="241"/>
      <c r="U13" s="234"/>
      <c r="V13" s="238"/>
      <c r="W13" s="239"/>
      <c r="X13" s="241"/>
      <c r="Y13" s="234"/>
      <c r="Z13" s="238"/>
      <c r="AA13" s="239"/>
      <c r="AB13" s="241"/>
      <c r="AC13" s="234"/>
      <c r="AD13" s="238"/>
      <c r="AE13" s="239"/>
      <c r="AG13" s="234"/>
      <c r="AH13" s="238"/>
      <c r="AI13" s="239"/>
      <c r="AK13" s="234"/>
      <c r="AL13" s="238"/>
      <c r="AM13" s="239"/>
      <c r="AO13" s="234"/>
      <c r="AP13" s="238"/>
      <c r="AQ13" s="239"/>
      <c r="AS13" s="234"/>
      <c r="AT13" s="238"/>
      <c r="AU13" s="239"/>
      <c r="AW13" s="234"/>
      <c r="AX13" s="238"/>
      <c r="AY13" s="239"/>
    </row>
    <row r="14" ht="13.5" spans="1:51">
      <c r="A14" s="234"/>
      <c r="B14" s="238"/>
      <c r="C14" s="239"/>
      <c r="D14" s="231"/>
      <c r="E14" s="234"/>
      <c r="F14" s="238"/>
      <c r="G14" s="239"/>
      <c r="H14" s="231"/>
      <c r="I14" s="234"/>
      <c r="J14" s="238"/>
      <c r="K14" s="239"/>
      <c r="L14" s="231"/>
      <c r="M14" s="240"/>
      <c r="N14" s="238"/>
      <c r="O14" s="239"/>
      <c r="P14" s="241"/>
      <c r="Q14" s="234"/>
      <c r="R14" s="238"/>
      <c r="S14" s="239"/>
      <c r="T14" s="241"/>
      <c r="U14" s="234"/>
      <c r="V14" s="238"/>
      <c r="W14" s="239"/>
      <c r="X14" s="241"/>
      <c r="Y14" s="234"/>
      <c r="Z14" s="238"/>
      <c r="AA14" s="239"/>
      <c r="AB14" s="241"/>
      <c r="AC14" s="234"/>
      <c r="AD14" s="238"/>
      <c r="AE14" s="239"/>
      <c r="AG14" s="234"/>
      <c r="AH14" s="238"/>
      <c r="AI14" s="239"/>
      <c r="AK14" s="234"/>
      <c r="AL14" s="238"/>
      <c r="AM14" s="239"/>
      <c r="AO14" s="234"/>
      <c r="AP14" s="238"/>
      <c r="AQ14" s="239"/>
      <c r="AS14" s="234"/>
      <c r="AT14" s="238"/>
      <c r="AU14" s="239"/>
      <c r="AW14" s="234"/>
      <c r="AX14" s="238"/>
      <c r="AY14" s="239"/>
    </row>
    <row r="15" ht="13.5" spans="1:51">
      <c r="A15" s="234"/>
      <c r="B15" s="238"/>
      <c r="C15" s="239"/>
      <c r="D15" s="231"/>
      <c r="E15" s="234"/>
      <c r="F15" s="238"/>
      <c r="G15" s="239"/>
      <c r="H15" s="231"/>
      <c r="I15" s="234"/>
      <c r="J15" s="238"/>
      <c r="K15" s="239"/>
      <c r="L15" s="231"/>
      <c r="M15" s="240"/>
      <c r="N15" s="238"/>
      <c r="O15" s="239"/>
      <c r="P15" s="241"/>
      <c r="Q15" s="234"/>
      <c r="R15" s="238"/>
      <c r="S15" s="239"/>
      <c r="T15" s="241"/>
      <c r="U15" s="234"/>
      <c r="V15" s="238"/>
      <c r="W15" s="239"/>
      <c r="X15" s="241"/>
      <c r="Y15" s="234"/>
      <c r="Z15" s="238"/>
      <c r="AA15" s="239"/>
      <c r="AB15" s="241"/>
      <c r="AC15" s="234"/>
      <c r="AD15" s="238"/>
      <c r="AE15" s="239"/>
      <c r="AG15" s="234"/>
      <c r="AH15" s="238"/>
      <c r="AI15" s="239"/>
      <c r="AK15" s="234"/>
      <c r="AL15" s="238"/>
      <c r="AM15" s="239"/>
      <c r="AO15" s="234"/>
      <c r="AP15" s="238"/>
      <c r="AQ15" s="239"/>
      <c r="AS15" s="234"/>
      <c r="AT15" s="238"/>
      <c r="AU15" s="239"/>
      <c r="AW15" s="234"/>
      <c r="AX15" s="238"/>
      <c r="AY15" s="239"/>
    </row>
    <row r="16" ht="13.5" spans="1:51">
      <c r="A16" s="234"/>
      <c r="B16" s="238"/>
      <c r="C16" s="239"/>
      <c r="D16" s="231"/>
      <c r="E16" s="234"/>
      <c r="F16" s="238"/>
      <c r="G16" s="239"/>
      <c r="H16" s="231"/>
      <c r="I16" s="234"/>
      <c r="J16" s="238"/>
      <c r="K16" s="239"/>
      <c r="L16" s="231"/>
      <c r="M16" s="240"/>
      <c r="N16" s="238"/>
      <c r="O16" s="239"/>
      <c r="P16" s="241"/>
      <c r="Q16" s="234"/>
      <c r="R16" s="238"/>
      <c r="S16" s="239"/>
      <c r="T16" s="241"/>
      <c r="U16" s="234"/>
      <c r="V16" s="238"/>
      <c r="W16" s="239"/>
      <c r="X16" s="241"/>
      <c r="Y16" s="234"/>
      <c r="Z16" s="238"/>
      <c r="AA16" s="239"/>
      <c r="AB16" s="241"/>
      <c r="AC16" s="234"/>
      <c r="AD16" s="238"/>
      <c r="AE16" s="239"/>
      <c r="AG16" s="234"/>
      <c r="AH16" s="238"/>
      <c r="AI16" s="239"/>
      <c r="AK16" s="234"/>
      <c r="AL16" s="238"/>
      <c r="AM16" s="239"/>
      <c r="AO16" s="234"/>
      <c r="AP16" s="238"/>
      <c r="AQ16" s="239"/>
      <c r="AS16" s="234"/>
      <c r="AT16" s="238"/>
      <c r="AU16" s="239"/>
      <c r="AW16" s="234"/>
      <c r="AX16" s="238"/>
      <c r="AY16" s="239"/>
    </row>
    <row r="17" ht="13.5" spans="1:51">
      <c r="A17" s="234"/>
      <c r="B17" s="238"/>
      <c r="C17" s="239"/>
      <c r="D17" s="231"/>
      <c r="E17" s="234"/>
      <c r="F17" s="238"/>
      <c r="G17" s="239"/>
      <c r="H17" s="231"/>
      <c r="I17" s="234"/>
      <c r="J17" s="238"/>
      <c r="K17" s="239"/>
      <c r="L17" s="231"/>
      <c r="M17" s="240"/>
      <c r="N17" s="238"/>
      <c r="O17" s="239"/>
      <c r="P17" s="241"/>
      <c r="Q17" s="234"/>
      <c r="R17" s="238"/>
      <c r="S17" s="239"/>
      <c r="T17" s="241"/>
      <c r="U17" s="234"/>
      <c r="V17" s="238"/>
      <c r="W17" s="239"/>
      <c r="X17" s="241"/>
      <c r="Y17" s="234"/>
      <c r="Z17" s="238"/>
      <c r="AA17" s="239"/>
      <c r="AB17" s="241"/>
      <c r="AC17" s="234"/>
      <c r="AD17" s="238"/>
      <c r="AE17" s="239"/>
      <c r="AG17" s="234"/>
      <c r="AH17" s="238"/>
      <c r="AI17" s="239"/>
      <c r="AK17" s="234"/>
      <c r="AL17" s="238"/>
      <c r="AM17" s="239"/>
      <c r="AO17" s="234"/>
      <c r="AP17" s="238"/>
      <c r="AQ17" s="239"/>
      <c r="AS17" s="234"/>
      <c r="AT17" s="238"/>
      <c r="AU17" s="239"/>
      <c r="AW17" s="234"/>
      <c r="AX17" s="238"/>
      <c r="AY17" s="239"/>
    </row>
    <row r="18" ht="13.5" spans="1:51">
      <c r="A18" s="234"/>
      <c r="B18" s="238"/>
      <c r="C18" s="239"/>
      <c r="D18" s="231"/>
      <c r="E18" s="234"/>
      <c r="F18" s="238"/>
      <c r="G18" s="239"/>
      <c r="H18" s="231"/>
      <c r="I18" s="234"/>
      <c r="J18" s="238"/>
      <c r="K18" s="239"/>
      <c r="L18" s="231"/>
      <c r="M18" s="240"/>
      <c r="N18" s="238"/>
      <c r="O18" s="239"/>
      <c r="P18" s="241"/>
      <c r="Q18" s="234"/>
      <c r="R18" s="238"/>
      <c r="S18" s="239"/>
      <c r="T18" s="241"/>
      <c r="U18" s="234"/>
      <c r="V18" s="238"/>
      <c r="W18" s="239"/>
      <c r="X18" s="241"/>
      <c r="Y18" s="234"/>
      <c r="Z18" s="238"/>
      <c r="AA18" s="239"/>
      <c r="AB18" s="241"/>
      <c r="AC18" s="234"/>
      <c r="AD18" s="238"/>
      <c r="AE18" s="239"/>
      <c r="AG18" s="234"/>
      <c r="AH18" s="238"/>
      <c r="AI18" s="239"/>
      <c r="AK18" s="234"/>
      <c r="AL18" s="238"/>
      <c r="AM18" s="239"/>
      <c r="AO18" s="234"/>
      <c r="AP18" s="238"/>
      <c r="AQ18" s="239"/>
      <c r="AS18" s="234"/>
      <c r="AT18" s="238"/>
      <c r="AU18" s="239"/>
      <c r="AW18" s="234"/>
      <c r="AX18" s="238"/>
      <c r="AY18" s="239"/>
    </row>
    <row r="19" ht="13.5" spans="1:51">
      <c r="A19" s="234"/>
      <c r="B19" s="238"/>
      <c r="C19" s="239"/>
      <c r="D19" s="231"/>
      <c r="E19" s="234"/>
      <c r="F19" s="238"/>
      <c r="G19" s="239"/>
      <c r="H19" s="231"/>
      <c r="I19" s="234"/>
      <c r="J19" s="238"/>
      <c r="K19" s="239"/>
      <c r="L19" s="231"/>
      <c r="M19" s="240"/>
      <c r="N19" s="238"/>
      <c r="O19" s="239"/>
      <c r="P19" s="241"/>
      <c r="Q19" s="234"/>
      <c r="R19" s="238"/>
      <c r="S19" s="239"/>
      <c r="T19" s="241"/>
      <c r="U19" s="234"/>
      <c r="V19" s="238"/>
      <c r="W19" s="239"/>
      <c r="X19" s="241"/>
      <c r="Y19" s="234"/>
      <c r="Z19" s="238"/>
      <c r="AA19" s="239"/>
      <c r="AB19" s="241"/>
      <c r="AC19" s="234"/>
      <c r="AD19" s="238"/>
      <c r="AE19" s="239"/>
      <c r="AG19" s="234"/>
      <c r="AH19" s="238"/>
      <c r="AI19" s="239"/>
      <c r="AK19" s="234"/>
      <c r="AL19" s="238"/>
      <c r="AM19" s="239"/>
      <c r="AO19" s="234"/>
      <c r="AP19" s="238"/>
      <c r="AQ19" s="239"/>
      <c r="AS19" s="234"/>
      <c r="AT19" s="238"/>
      <c r="AU19" s="239"/>
      <c r="AW19" s="234"/>
      <c r="AX19" s="238"/>
    </row>
    <row r="20" ht="13.5" spans="1:51">
      <c r="A20" s="234"/>
      <c r="B20" s="238"/>
      <c r="C20" s="239"/>
      <c r="D20" s="231"/>
      <c r="E20" s="234"/>
      <c r="F20" s="238"/>
      <c r="G20" s="239"/>
      <c r="H20" s="231"/>
      <c r="I20" s="234"/>
      <c r="J20" s="238"/>
      <c r="K20" s="239"/>
      <c r="L20" s="231"/>
      <c r="M20" s="240"/>
      <c r="N20" s="238"/>
      <c r="O20" s="239"/>
      <c r="P20" s="241"/>
      <c r="Q20" s="234"/>
      <c r="R20" s="238"/>
      <c r="S20" s="239"/>
      <c r="T20" s="241"/>
      <c r="U20" s="234"/>
      <c r="V20" s="238"/>
      <c r="W20" s="239"/>
      <c r="X20" s="241"/>
      <c r="Y20" s="234"/>
      <c r="Z20" s="238"/>
      <c r="AA20" s="239"/>
      <c r="AB20" s="241"/>
      <c r="AC20" s="234"/>
      <c r="AD20" s="238"/>
      <c r="AE20" s="239"/>
      <c r="AG20" s="234"/>
      <c r="AH20" s="238"/>
      <c r="AI20" s="239"/>
      <c r="AK20" s="234"/>
      <c r="AL20" s="238"/>
      <c r="AM20" s="239"/>
      <c r="AO20" s="234"/>
      <c r="AP20" s="238"/>
      <c r="AQ20" s="239"/>
      <c r="AS20" s="234"/>
      <c r="AT20" s="238"/>
      <c r="AU20" s="239"/>
      <c r="AW20" s="234"/>
      <c r="AX20" s="238"/>
      <c r="AY20" s="239"/>
    </row>
    <row r="21" ht="13.5" spans="1:51">
      <c r="A21" s="234"/>
      <c r="B21" s="238"/>
      <c r="C21" s="239"/>
      <c r="D21" s="231"/>
      <c r="E21" s="234"/>
      <c r="F21" s="238"/>
      <c r="G21" s="239"/>
      <c r="H21" s="231"/>
      <c r="I21" s="234"/>
      <c r="J21" s="238"/>
      <c r="K21" s="239"/>
      <c r="L21" s="231"/>
      <c r="M21" s="240"/>
      <c r="N21" s="238"/>
      <c r="O21" s="239"/>
      <c r="P21" s="241"/>
      <c r="Q21" s="234"/>
      <c r="R21" s="238"/>
      <c r="S21" s="239"/>
      <c r="T21" s="241"/>
      <c r="U21" s="234"/>
      <c r="V21" s="238"/>
      <c r="W21" s="239"/>
      <c r="X21" s="241"/>
      <c r="Y21" s="234"/>
      <c r="Z21" s="238"/>
      <c r="AA21" s="239"/>
      <c r="AB21" s="241"/>
      <c r="AC21" s="234"/>
      <c r="AD21" s="238"/>
      <c r="AE21" s="239"/>
      <c r="AG21" s="234"/>
      <c r="AH21" s="238"/>
      <c r="AI21" s="239"/>
      <c r="AK21" s="234"/>
      <c r="AL21" s="238"/>
      <c r="AM21" s="239"/>
      <c r="AO21" s="234"/>
      <c r="AP21" s="238"/>
      <c r="AQ21" s="239"/>
      <c r="AS21" s="234"/>
      <c r="AT21" s="238"/>
      <c r="AU21" s="239"/>
      <c r="AW21" s="234"/>
      <c r="AX21" s="238"/>
      <c r="AY21" s="239"/>
    </row>
    <row r="22" ht="13.5" spans="1:51">
      <c r="A22" s="234"/>
      <c r="B22" s="238"/>
      <c r="C22" s="239"/>
      <c r="D22" s="231"/>
      <c r="E22" s="234"/>
      <c r="F22" s="238"/>
      <c r="G22" s="239"/>
      <c r="H22" s="231"/>
      <c r="I22" s="234"/>
      <c r="J22" s="238"/>
      <c r="K22" s="239"/>
      <c r="L22" s="231"/>
      <c r="M22" s="234"/>
      <c r="N22" s="238"/>
      <c r="O22" s="239"/>
      <c r="P22" s="241"/>
      <c r="Q22" s="234"/>
      <c r="R22" s="238"/>
      <c r="S22" s="239"/>
      <c r="T22" s="241"/>
      <c r="U22" s="234"/>
      <c r="V22" s="238"/>
      <c r="W22" s="239"/>
      <c r="X22" s="241"/>
      <c r="Y22" s="234"/>
      <c r="Z22" s="238"/>
      <c r="AA22" s="239"/>
      <c r="AB22" s="241"/>
      <c r="AC22" s="234"/>
      <c r="AD22" s="238"/>
      <c r="AE22" s="239"/>
      <c r="AG22" s="234"/>
      <c r="AH22" s="238"/>
      <c r="AI22" s="239"/>
      <c r="AK22" s="234"/>
      <c r="AL22" s="238"/>
      <c r="AM22" s="239"/>
      <c r="AO22" s="234"/>
      <c r="AP22" s="238"/>
      <c r="AQ22" s="239"/>
      <c r="AS22" s="234"/>
      <c r="AT22" s="238"/>
      <c r="AU22" s="239"/>
      <c r="AW22" s="234"/>
      <c r="AX22" s="238"/>
      <c r="AY22" s="239"/>
    </row>
    <row r="23" ht="13.5" spans="1:51">
      <c r="A23" s="234"/>
      <c r="B23" s="238"/>
      <c r="C23" s="239"/>
      <c r="D23" s="231"/>
      <c r="E23" s="234"/>
      <c r="F23" s="238"/>
      <c r="G23" s="239"/>
      <c r="H23" s="231"/>
      <c r="I23" s="234"/>
      <c r="J23" s="238"/>
      <c r="K23" s="239"/>
      <c r="L23" s="231"/>
      <c r="M23" s="234"/>
      <c r="N23" s="238"/>
      <c r="O23" s="239"/>
      <c r="P23" s="241"/>
      <c r="Q23" s="234"/>
      <c r="R23" s="238"/>
      <c r="S23" s="239"/>
      <c r="T23" s="241"/>
      <c r="U23" s="234"/>
      <c r="V23" s="238"/>
      <c r="W23" s="239"/>
      <c r="X23" s="241"/>
      <c r="Y23" s="234"/>
      <c r="Z23" s="238"/>
      <c r="AA23" s="239"/>
      <c r="AB23" s="241"/>
      <c r="AC23" s="234"/>
      <c r="AD23" s="238"/>
      <c r="AE23" s="239"/>
      <c r="AG23" s="234"/>
      <c r="AH23" s="238"/>
      <c r="AI23" s="239"/>
      <c r="AK23" s="234"/>
      <c r="AL23" s="238"/>
      <c r="AM23" s="239"/>
      <c r="AO23" s="234"/>
      <c r="AP23" s="238"/>
      <c r="AQ23" s="239"/>
      <c r="AS23" s="234"/>
      <c r="AT23" s="238"/>
      <c r="AU23" s="239"/>
      <c r="AW23" s="234"/>
      <c r="AX23" s="238"/>
      <c r="AY23" s="239"/>
    </row>
    <row r="24" ht="13.5" spans="1:51">
      <c r="A24" s="240" t="s">
        <v>166</v>
      </c>
      <c r="B24" s="244">
        <f>SUM(B3:B23)</f>
        <v>0</v>
      </c>
      <c r="C24" s="244">
        <f>SUM(C3:C23)</f>
        <v>0</v>
      </c>
      <c r="D24" s="231"/>
      <c r="E24" s="240" t="s">
        <v>166</v>
      </c>
      <c r="F24" s="244">
        <f>SUM(F3:F23)</f>
        <v>0</v>
      </c>
      <c r="G24" s="245">
        <f>SUM(G3:G23)</f>
        <v>0</v>
      </c>
      <c r="H24" s="231"/>
      <c r="I24" s="240" t="s">
        <v>166</v>
      </c>
      <c r="J24" s="244">
        <f>SUM(J3:J23)</f>
        <v>0</v>
      </c>
      <c r="K24" s="245">
        <f>SUM(K3:K23)</f>
        <v>0</v>
      </c>
      <c r="L24" s="231"/>
      <c r="M24" s="240" t="s">
        <v>166</v>
      </c>
      <c r="N24" s="244">
        <f>SUM(N3:N23)</f>
        <v>0</v>
      </c>
      <c r="O24" s="245">
        <f>SUM(O3:O23)</f>
        <v>0</v>
      </c>
      <c r="P24" s="246"/>
      <c r="Q24" s="240" t="s">
        <v>166</v>
      </c>
      <c r="R24" s="244">
        <f>SUM(R3:R23)</f>
        <v>0</v>
      </c>
      <c r="S24" s="245">
        <f>SUM(S3:S23)</f>
        <v>0</v>
      </c>
      <c r="T24" s="246"/>
      <c r="U24" s="240" t="s">
        <v>166</v>
      </c>
      <c r="V24" s="244">
        <f>SUM(V3:V23)</f>
        <v>0</v>
      </c>
      <c r="W24" s="245">
        <f>SUM(W3:W23)</f>
        <v>0</v>
      </c>
      <c r="X24" s="246"/>
      <c r="Y24" s="240" t="s">
        <v>166</v>
      </c>
      <c r="Z24" s="244">
        <f>SUM(Z3:Z23)</f>
        <v>0</v>
      </c>
      <c r="AA24" s="245">
        <f>SUM(AA3:AA23)</f>
        <v>0</v>
      </c>
      <c r="AB24" s="246"/>
      <c r="AC24" s="240" t="s">
        <v>166</v>
      </c>
      <c r="AD24" s="244">
        <f>SUM(AD3:AD23)</f>
        <v>0</v>
      </c>
      <c r="AE24" s="245">
        <f>SUM(AE3:AE23)</f>
        <v>0</v>
      </c>
      <c r="AG24" s="240" t="s">
        <v>166</v>
      </c>
      <c r="AH24" s="244">
        <f>SUM(AH3:AH23)</f>
        <v>0</v>
      </c>
      <c r="AI24" s="245">
        <f>SUM(AI3:AI23)</f>
        <v>0</v>
      </c>
      <c r="AK24" s="240" t="s">
        <v>166</v>
      </c>
      <c r="AL24" s="244">
        <f>SUM(AL3:AL23)</f>
        <v>0</v>
      </c>
      <c r="AM24" s="245">
        <f>SUM(AM3:AM23)</f>
        <v>0</v>
      </c>
      <c r="AO24" s="240" t="s">
        <v>166</v>
      </c>
      <c r="AP24" s="244">
        <f>SUM(AP3:AP23)</f>
        <v>0</v>
      </c>
      <c r="AQ24" s="245">
        <f>SUM(AQ3:AQ23)</f>
        <v>0</v>
      </c>
      <c r="AS24" s="240" t="s">
        <v>166</v>
      </c>
      <c r="AT24" s="244">
        <f>SUM(AT3:AT23)</f>
        <v>0</v>
      </c>
      <c r="AU24" s="245">
        <f>SUM(AU3:AU23)</f>
        <v>0</v>
      </c>
      <c r="AW24" s="240" t="s">
        <v>166</v>
      </c>
      <c r="AX24" s="244">
        <f>SUM(AX3:AX23)</f>
        <v>0</v>
      </c>
      <c r="AY24" s="245">
        <f>SUM(AY3:AY23)</f>
        <v>0</v>
      </c>
    </row>
    <row r="25" ht="14.25" spans="1:51">
      <c r="A25" s="247" t="s">
        <v>167</v>
      </c>
      <c r="B25" s="248">
        <f>C24-B24</f>
        <v>0</v>
      </c>
      <c r="C25" s="249"/>
      <c r="D25" s="250"/>
      <c r="E25" s="247" t="s">
        <v>167</v>
      </c>
      <c r="F25" s="248">
        <f>G24-F24</f>
        <v>0</v>
      </c>
      <c r="G25" s="249"/>
      <c r="H25" s="231"/>
      <c r="I25" s="247" t="s">
        <v>167</v>
      </c>
      <c r="J25" s="248">
        <f>K24-J24</f>
        <v>0</v>
      </c>
      <c r="K25" s="249"/>
      <c r="L25" s="231"/>
      <c r="M25" s="247" t="s">
        <v>167</v>
      </c>
      <c r="N25" s="248">
        <f>N24-O24</f>
        <v>0</v>
      </c>
      <c r="O25" s="249"/>
      <c r="P25" s="251"/>
      <c r="Q25" s="247" t="s">
        <v>167</v>
      </c>
      <c r="R25" s="248">
        <f>R24-S24</f>
        <v>0</v>
      </c>
      <c r="S25" s="249"/>
      <c r="T25" s="251"/>
      <c r="U25" s="247" t="s">
        <v>167</v>
      </c>
      <c r="V25" s="248">
        <f>V24-W24</f>
        <v>0</v>
      </c>
      <c r="W25" s="249"/>
      <c r="X25" s="251"/>
      <c r="Y25" s="247" t="s">
        <v>167</v>
      </c>
      <c r="Z25" s="248">
        <f>Z24-AA24</f>
        <v>0</v>
      </c>
      <c r="AA25" s="249"/>
      <c r="AB25" s="241"/>
      <c r="AC25" s="247" t="s">
        <v>167</v>
      </c>
      <c r="AD25" s="248">
        <f>AD24-AE24</f>
        <v>0</v>
      </c>
      <c r="AE25" s="249"/>
      <c r="AG25" s="247" t="s">
        <v>167</v>
      </c>
      <c r="AH25" s="248">
        <f>AH24-AI24</f>
        <v>0</v>
      </c>
      <c r="AI25" s="249"/>
      <c r="AK25" s="247" t="s">
        <v>167</v>
      </c>
      <c r="AL25" s="248">
        <f>AM24-AL24</f>
        <v>0</v>
      </c>
      <c r="AM25" s="249"/>
      <c r="AO25" s="247" t="s">
        <v>167</v>
      </c>
      <c r="AP25" s="248">
        <f>AQ24-AP24</f>
        <v>0</v>
      </c>
      <c r="AQ25" s="249"/>
      <c r="AS25" s="247" t="s">
        <v>167</v>
      </c>
      <c r="AT25" s="248">
        <f>AU24-AT24</f>
        <v>0</v>
      </c>
      <c r="AU25" s="249"/>
      <c r="AW25" s="247" t="s">
        <v>167</v>
      </c>
      <c r="AX25" s="248">
        <f>AY24-AX24</f>
        <v>0</v>
      </c>
      <c r="AY25" s="249"/>
    </row>
  </sheetData>
  <mergeCells count="13">
    <mergeCell ref="B1:C1"/>
    <mergeCell ref="F1:G1"/>
    <mergeCell ref="J1:K1"/>
    <mergeCell ref="N1:O1"/>
    <mergeCell ref="R1:S1"/>
    <mergeCell ref="V1:W1"/>
    <mergeCell ref="Z1:AA1"/>
    <mergeCell ref="AD1:AE1"/>
    <mergeCell ref="AH1:AI1"/>
    <mergeCell ref="AL1:AM1"/>
    <mergeCell ref="AP1:AQ1"/>
    <mergeCell ref="AT1:AU1"/>
    <mergeCell ref="AX1:AY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0"/>
  <sheetViews>
    <sheetView zoomScale="115" zoomScaleNormal="115" workbookViewId="0">
      <pane xSplit="1" ySplit="6" topLeftCell="B54" activePane="bottomRight" state="frozenSplit"/>
      <selection/>
      <selection pane="topRight"/>
      <selection pane="bottomLeft"/>
      <selection pane="bottomRight" activeCell="H71" sqref="H71"/>
    </sheetView>
  </sheetViews>
  <sheetFormatPr defaultColWidth="9.14285714285714" defaultRowHeight="10.1" outlineLevelCol="7"/>
  <cols>
    <col min="1" max="1" width="22" style="125" customWidth="1"/>
    <col min="2" max="2" width="5.28571428571429" style="126" customWidth="1"/>
    <col min="3" max="3" width="15.5714285714286" style="129" customWidth="1"/>
    <col min="4" max="4" width="16.5714285714286" style="130" customWidth="1"/>
    <col min="5" max="5" width="23.5714285714286" style="125" customWidth="1"/>
    <col min="6" max="6" width="5.28571428571429" style="126" customWidth="1"/>
    <col min="7" max="7" width="14.2857142857143" style="131" customWidth="1"/>
    <col min="8" max="8" width="16.2857142857143" style="131" customWidth="1"/>
    <col min="9" max="16384" width="9.14285714285714" style="90"/>
  </cols>
  <sheetData>
    <row r="1" s="89" customFormat="1" spans="1:8">
      <c r="A1" s="132"/>
      <c r="B1" s="126"/>
      <c r="C1" s="133"/>
      <c r="D1" s="134"/>
      <c r="E1" s="132"/>
      <c r="F1" s="126"/>
      <c r="G1" s="135"/>
      <c r="H1" s="135"/>
    </row>
    <row r="2" s="89" customFormat="1" ht="13.85" spans="1:8">
      <c r="A2" s="132"/>
      <c r="B2" s="126"/>
      <c r="C2" s="133"/>
      <c r="D2" s="136" t="s">
        <v>174</v>
      </c>
      <c r="E2" s="136"/>
      <c r="F2" s="126"/>
      <c r="G2" s="135"/>
      <c r="H2" s="135"/>
    </row>
    <row r="3" s="89" customFormat="1" ht="14.6" spans="1:8">
      <c r="A3" s="137"/>
      <c r="B3" s="126"/>
      <c r="C3" s="133"/>
      <c r="D3" s="134"/>
      <c r="E3" s="132"/>
      <c r="F3" s="126"/>
      <c r="G3" s="135"/>
      <c r="H3" s="135"/>
    </row>
    <row r="4" ht="13.1" spans="1:8">
      <c r="A4" s="101" t="s">
        <v>175</v>
      </c>
      <c r="D4" s="138" t="s">
        <v>176</v>
      </c>
      <c r="E4" s="138"/>
    </row>
    <row r="5" ht="17.25" customHeight="1" spans="1:8">
      <c r="A5" s="91"/>
      <c r="B5" s="139"/>
      <c r="C5" s="140"/>
      <c r="D5" s="141"/>
      <c r="E5" s="142"/>
      <c r="F5" s="139"/>
      <c r="G5" s="143"/>
      <c r="H5" s="143"/>
    </row>
    <row r="6" s="89" customFormat="1" ht="10.15" spans="1:8">
      <c r="A6" s="144" t="s">
        <v>177</v>
      </c>
      <c r="B6" s="145" t="s">
        <v>178</v>
      </c>
      <c r="C6" s="146" t="s">
        <v>120</v>
      </c>
      <c r="D6" s="147" t="s">
        <v>179</v>
      </c>
      <c r="E6" s="148" t="s">
        <v>180</v>
      </c>
      <c r="F6" s="149" t="s">
        <v>178</v>
      </c>
      <c r="G6" s="150" t="s">
        <v>120</v>
      </c>
      <c r="H6" s="151" t="s">
        <v>179</v>
      </c>
    </row>
    <row r="7" s="89" customFormat="1" spans="1:8">
      <c r="A7" s="152" t="s">
        <v>181</v>
      </c>
      <c r="B7" s="153">
        <v>1</v>
      </c>
      <c r="C7" s="154"/>
      <c r="D7" s="154"/>
      <c r="E7" s="155" t="s">
        <v>182</v>
      </c>
      <c r="F7" s="156">
        <v>74</v>
      </c>
      <c r="G7" s="157"/>
      <c r="H7" s="158"/>
    </row>
    <row r="8" spans="1:8">
      <c r="A8" s="159" t="s">
        <v>183</v>
      </c>
      <c r="B8" s="160">
        <v>2</v>
      </c>
      <c r="C8" s="161">
        <v>0</v>
      </c>
      <c r="D8" s="161">
        <v>0</v>
      </c>
      <c r="E8" s="155" t="s">
        <v>184</v>
      </c>
      <c r="F8" s="162">
        <v>75</v>
      </c>
      <c r="G8" s="163">
        <v>0</v>
      </c>
      <c r="H8" s="164">
        <f>'明细账汇总-负债类科目'!F21</f>
        <v>0</v>
      </c>
    </row>
    <row r="9" spans="1:8">
      <c r="A9" s="159" t="s">
        <v>185</v>
      </c>
      <c r="B9" s="160">
        <v>3</v>
      </c>
      <c r="C9" s="161"/>
      <c r="D9" s="161">
        <f>'明细账汇总-资产类科目'!B27</f>
        <v>0</v>
      </c>
      <c r="E9" s="155" t="s">
        <v>186</v>
      </c>
      <c r="F9" s="162">
        <v>76</v>
      </c>
      <c r="G9" s="163">
        <v>0</v>
      </c>
      <c r="H9" s="164">
        <v>0</v>
      </c>
    </row>
    <row r="10" spans="1:8">
      <c r="A10" s="159" t="s">
        <v>160</v>
      </c>
      <c r="B10" s="160">
        <v>4</v>
      </c>
      <c r="C10" s="161"/>
      <c r="D10" s="165">
        <f>'明细账汇总-资产类科目'!AT27</f>
        <v>0</v>
      </c>
      <c r="E10" s="155" t="s">
        <v>187</v>
      </c>
      <c r="F10" s="162">
        <v>77</v>
      </c>
      <c r="G10" s="163">
        <v>0</v>
      </c>
      <c r="H10" s="164">
        <f>'明细账汇总-负债类科目'!K21</f>
        <v>0</v>
      </c>
    </row>
    <row r="11" spans="1:8">
      <c r="A11" s="159" t="s">
        <v>188</v>
      </c>
      <c r="B11" s="160">
        <v>5</v>
      </c>
      <c r="C11" s="161"/>
      <c r="D11" s="165"/>
      <c r="E11" s="155" t="s">
        <v>189</v>
      </c>
      <c r="F11" s="162">
        <v>78</v>
      </c>
      <c r="G11" s="163">
        <v>0</v>
      </c>
      <c r="H11" s="164">
        <f>'明细账汇总-负债类科目'!B21</f>
        <v>0</v>
      </c>
    </row>
    <row r="12" ht="10.15" spans="1:8">
      <c r="A12" s="166" t="s">
        <v>190</v>
      </c>
      <c r="B12" s="160">
        <v>6</v>
      </c>
      <c r="C12" s="161"/>
      <c r="D12" s="165"/>
      <c r="E12" s="155" t="s">
        <v>191</v>
      </c>
      <c r="F12" s="162">
        <v>79</v>
      </c>
      <c r="G12" s="163">
        <f>'明细账汇总-负债类科目'!Q3</f>
        <v>0</v>
      </c>
      <c r="H12" s="164">
        <f>'明细账汇总-负债类科目'!P21</f>
        <v>0</v>
      </c>
    </row>
    <row r="13" ht="10.15" spans="1:8">
      <c r="A13" s="166" t="s">
        <v>192</v>
      </c>
      <c r="B13" s="160">
        <v>7</v>
      </c>
      <c r="C13" s="161"/>
      <c r="D13" s="165"/>
      <c r="E13" s="155" t="s">
        <v>193</v>
      </c>
      <c r="F13" s="162">
        <v>80</v>
      </c>
      <c r="G13" s="163">
        <v>0</v>
      </c>
      <c r="H13" s="164">
        <v>0</v>
      </c>
    </row>
    <row r="14" spans="1:8">
      <c r="A14" s="159" t="s">
        <v>194</v>
      </c>
      <c r="B14" s="160">
        <v>8</v>
      </c>
      <c r="C14" s="161">
        <v>0</v>
      </c>
      <c r="D14" s="165">
        <f>'明细账汇总-资产类科目'!Y27</f>
        <v>0</v>
      </c>
      <c r="E14" s="155" t="s">
        <v>195</v>
      </c>
      <c r="F14" s="162">
        <v>81</v>
      </c>
      <c r="G14" s="163">
        <v>0</v>
      </c>
      <c r="H14" s="164">
        <v>0</v>
      </c>
    </row>
    <row r="15" spans="1:8">
      <c r="A15" s="159" t="s">
        <v>196</v>
      </c>
      <c r="B15" s="160">
        <v>9</v>
      </c>
      <c r="C15" s="161"/>
      <c r="D15" s="165"/>
      <c r="E15" s="155" t="s">
        <v>197</v>
      </c>
      <c r="F15" s="162">
        <v>82</v>
      </c>
      <c r="G15" s="163">
        <v>0</v>
      </c>
      <c r="H15" s="164">
        <v>0</v>
      </c>
    </row>
    <row r="16" spans="1:8">
      <c r="A16" s="159" t="s">
        <v>198</v>
      </c>
      <c r="B16" s="160">
        <v>10</v>
      </c>
      <c r="C16" s="161">
        <v>0</v>
      </c>
      <c r="D16" s="165">
        <v>0</v>
      </c>
      <c r="E16" s="155" t="s">
        <v>199</v>
      </c>
      <c r="F16" s="162">
        <v>83</v>
      </c>
      <c r="G16" s="163">
        <v>0</v>
      </c>
      <c r="H16" s="164">
        <v>0</v>
      </c>
    </row>
    <row r="17" spans="1:8">
      <c r="A17" s="159" t="s">
        <v>200</v>
      </c>
      <c r="B17" s="160">
        <v>11</v>
      </c>
      <c r="C17" s="161">
        <v>0</v>
      </c>
      <c r="D17" s="165">
        <v>0</v>
      </c>
      <c r="E17" s="155" t="s">
        <v>201</v>
      </c>
      <c r="F17" s="162">
        <v>84</v>
      </c>
      <c r="G17" s="163">
        <v>0</v>
      </c>
      <c r="H17" s="164">
        <v>0</v>
      </c>
    </row>
    <row r="18" ht="10.15" spans="1:8">
      <c r="A18" s="166" t="s">
        <v>202</v>
      </c>
      <c r="B18" s="160">
        <v>12</v>
      </c>
      <c r="C18" s="161"/>
      <c r="D18" s="165"/>
      <c r="E18" s="155" t="s">
        <v>203</v>
      </c>
      <c r="F18" s="162">
        <v>85</v>
      </c>
      <c r="G18" s="163">
        <v>0</v>
      </c>
      <c r="H18" s="164"/>
    </row>
    <row r="19" ht="10.15" spans="1:8">
      <c r="A19" s="159" t="s">
        <v>204</v>
      </c>
      <c r="B19" s="160">
        <v>13</v>
      </c>
      <c r="C19" s="161"/>
      <c r="D19" s="165">
        <f>'明细账汇总-资产类科目'!J27+'明细账汇总-资产类科目'!N27</f>
        <v>411.2</v>
      </c>
      <c r="E19" s="167" t="s">
        <v>205</v>
      </c>
      <c r="F19" s="162">
        <v>86</v>
      </c>
      <c r="G19" s="163">
        <v>0</v>
      </c>
      <c r="H19" s="164"/>
    </row>
    <row r="20" spans="1:8">
      <c r="A20" s="159" t="s">
        <v>206</v>
      </c>
      <c r="B20" s="160">
        <v>14</v>
      </c>
      <c r="C20" s="161"/>
      <c r="D20" s="165"/>
      <c r="E20" s="155"/>
      <c r="F20" s="162">
        <v>87</v>
      </c>
      <c r="G20" s="163">
        <v>0</v>
      </c>
      <c r="H20" s="164"/>
    </row>
    <row r="21" spans="1:8">
      <c r="A21" s="168" t="s">
        <v>207</v>
      </c>
      <c r="B21" s="160">
        <v>15</v>
      </c>
      <c r="C21" s="169"/>
      <c r="D21" s="165">
        <f>'明细账汇总-资产类科目'!AH27</f>
        <v>20.56</v>
      </c>
      <c r="E21" s="155"/>
      <c r="F21" s="162">
        <v>88</v>
      </c>
      <c r="G21" s="163">
        <v>0</v>
      </c>
      <c r="H21" s="164"/>
    </row>
    <row r="22" hidden="1" spans="1:8">
      <c r="A22" s="159"/>
      <c r="B22" s="160">
        <v>16</v>
      </c>
      <c r="C22" s="169"/>
      <c r="D22" s="169"/>
      <c r="E22" s="155"/>
      <c r="F22" s="162">
        <v>89</v>
      </c>
      <c r="G22" s="163"/>
      <c r="H22" s="164"/>
    </row>
    <row r="23" hidden="1" spans="1:8">
      <c r="A23" s="159"/>
      <c r="B23" s="160">
        <v>17</v>
      </c>
      <c r="C23" s="169"/>
      <c r="D23" s="169"/>
      <c r="E23" s="155"/>
      <c r="F23" s="162">
        <v>90</v>
      </c>
      <c r="G23" s="163"/>
      <c r="H23" s="164"/>
    </row>
    <row r="24" hidden="1" spans="1:8">
      <c r="A24" s="159"/>
      <c r="B24" s="160">
        <v>18</v>
      </c>
      <c r="C24" s="169"/>
      <c r="D24" s="169"/>
      <c r="E24" s="155"/>
      <c r="F24" s="162">
        <v>91</v>
      </c>
      <c r="G24" s="163"/>
      <c r="H24" s="164"/>
    </row>
    <row r="25" hidden="1" spans="1:8">
      <c r="A25" s="159"/>
      <c r="B25" s="160">
        <v>19</v>
      </c>
      <c r="C25" s="169"/>
      <c r="D25" s="169"/>
      <c r="E25" s="155"/>
      <c r="F25" s="162">
        <v>92</v>
      </c>
      <c r="G25" s="163"/>
      <c r="H25" s="164"/>
    </row>
    <row r="26" spans="1:8">
      <c r="A26" s="159" t="s">
        <v>208</v>
      </c>
      <c r="B26" s="160">
        <v>20</v>
      </c>
      <c r="C26" s="169"/>
      <c r="D26" s="169"/>
      <c r="E26" s="155" t="s">
        <v>80</v>
      </c>
      <c r="F26" s="162">
        <v>93</v>
      </c>
      <c r="G26" s="163">
        <v>0</v>
      </c>
      <c r="H26" s="164"/>
    </row>
    <row r="27" ht="10.85" spans="1:8">
      <c r="A27" s="170" t="s">
        <v>42</v>
      </c>
      <c r="B27" s="171">
        <v>21</v>
      </c>
      <c r="C27" s="172"/>
      <c r="D27" s="172"/>
      <c r="E27" s="173" t="s">
        <v>81</v>
      </c>
      <c r="F27" s="174">
        <v>94</v>
      </c>
      <c r="G27" s="175">
        <v>0</v>
      </c>
      <c r="H27" s="176"/>
    </row>
    <row r="28" s="89" customFormat="1" ht="10.85" spans="1:8">
      <c r="A28" s="177" t="s">
        <v>209</v>
      </c>
      <c r="B28" s="178">
        <v>22</v>
      </c>
      <c r="C28" s="179">
        <f>SUM(C8:C14)-C15+C16+C17+C18+C19-C20+C21+C26+C27</f>
        <v>0</v>
      </c>
      <c r="D28" s="179">
        <f>SUM(D8:D19)-D20+D21+D26+D27</f>
        <v>431.76</v>
      </c>
      <c r="E28" s="180" t="s">
        <v>210</v>
      </c>
      <c r="F28" s="181">
        <v>95</v>
      </c>
      <c r="G28" s="182">
        <f>SUM(G8:G27)</f>
        <v>0</v>
      </c>
      <c r="H28" s="183">
        <f>SUM(H8:H27)</f>
        <v>0</v>
      </c>
    </row>
    <row r="29" s="89" customFormat="1" spans="1:8">
      <c r="A29" s="152" t="s">
        <v>211</v>
      </c>
      <c r="B29" s="153">
        <v>23</v>
      </c>
      <c r="C29" s="184"/>
      <c r="D29" s="154"/>
      <c r="E29" s="155" t="s">
        <v>212</v>
      </c>
      <c r="F29" s="156">
        <v>96</v>
      </c>
      <c r="G29" s="157"/>
      <c r="H29" s="158"/>
    </row>
    <row r="30" spans="1:8">
      <c r="A30" s="159" t="s">
        <v>213</v>
      </c>
      <c r="B30" s="160">
        <v>24</v>
      </c>
      <c r="C30" s="161">
        <v>0</v>
      </c>
      <c r="D30" s="161">
        <v>0</v>
      </c>
      <c r="E30" s="185" t="s">
        <v>214</v>
      </c>
      <c r="F30" s="162">
        <v>97</v>
      </c>
      <c r="G30" s="163">
        <v>0</v>
      </c>
      <c r="H30" s="164">
        <v>0</v>
      </c>
    </row>
    <row r="31" spans="1:8">
      <c r="A31" s="159" t="s">
        <v>215</v>
      </c>
      <c r="B31" s="160">
        <v>25</v>
      </c>
      <c r="C31" s="161">
        <v>0</v>
      </c>
      <c r="D31" s="161">
        <v>0</v>
      </c>
      <c r="E31" s="185" t="s">
        <v>216</v>
      </c>
      <c r="F31" s="162">
        <v>98</v>
      </c>
      <c r="G31" s="163">
        <v>0</v>
      </c>
      <c r="H31" s="164">
        <v>0</v>
      </c>
    </row>
    <row r="32" ht="10.15" spans="1:8">
      <c r="A32" s="159"/>
      <c r="B32" s="160">
        <v>26</v>
      </c>
      <c r="C32" s="186"/>
      <c r="D32" s="169"/>
      <c r="E32" s="187" t="s">
        <v>217</v>
      </c>
      <c r="F32" s="162">
        <v>99</v>
      </c>
      <c r="G32" s="163">
        <v>0</v>
      </c>
      <c r="H32" s="164">
        <v>0</v>
      </c>
    </row>
    <row r="33" spans="1:8">
      <c r="A33" s="159"/>
      <c r="B33" s="160">
        <v>27</v>
      </c>
      <c r="C33" s="186"/>
      <c r="D33" s="169"/>
      <c r="E33" s="185" t="s">
        <v>218</v>
      </c>
      <c r="F33" s="162">
        <v>100</v>
      </c>
      <c r="G33" s="163">
        <v>0</v>
      </c>
      <c r="H33" s="164">
        <v>0</v>
      </c>
    </row>
    <row r="34" ht="10.15" spans="1:8">
      <c r="A34" s="159"/>
      <c r="B34" s="160">
        <v>28</v>
      </c>
      <c r="C34" s="186"/>
      <c r="D34" s="169"/>
      <c r="E34" s="185" t="s">
        <v>219</v>
      </c>
      <c r="F34" s="162">
        <v>101</v>
      </c>
      <c r="G34" s="163">
        <v>0</v>
      </c>
      <c r="H34" s="164">
        <v>0</v>
      </c>
    </row>
    <row r="35" spans="1:8">
      <c r="A35" s="159"/>
      <c r="B35" s="160">
        <v>29</v>
      </c>
      <c r="C35" s="186"/>
      <c r="D35" s="169"/>
      <c r="E35" s="155"/>
      <c r="F35" s="162">
        <v>102</v>
      </c>
      <c r="G35" s="163"/>
      <c r="H35" s="164"/>
    </row>
    <row r="36" hidden="1" spans="1:8">
      <c r="A36" s="159"/>
      <c r="B36" s="160">
        <v>30</v>
      </c>
      <c r="C36" s="186"/>
      <c r="D36" s="169"/>
      <c r="E36" s="155"/>
      <c r="F36" s="162">
        <v>103</v>
      </c>
      <c r="G36" s="163"/>
      <c r="H36" s="164"/>
    </row>
    <row r="37" hidden="1" spans="1:8">
      <c r="A37" s="159"/>
      <c r="B37" s="160">
        <v>31</v>
      </c>
      <c r="C37" s="186"/>
      <c r="D37" s="169"/>
      <c r="E37" s="155"/>
      <c r="F37" s="162">
        <v>104</v>
      </c>
      <c r="G37" s="163"/>
      <c r="H37" s="164"/>
    </row>
    <row r="38" hidden="1" spans="1:8">
      <c r="A38" s="159"/>
      <c r="B38" s="160">
        <v>32</v>
      </c>
      <c r="C38" s="186"/>
      <c r="D38" s="169"/>
      <c r="E38" s="155"/>
      <c r="F38" s="162">
        <v>105</v>
      </c>
      <c r="G38" s="163"/>
      <c r="H38" s="164"/>
    </row>
    <row r="39" hidden="1" spans="1:8">
      <c r="A39" s="159"/>
      <c r="B39" s="160">
        <v>33</v>
      </c>
      <c r="C39" s="186"/>
      <c r="D39" s="169"/>
      <c r="E39" s="155"/>
      <c r="F39" s="162">
        <v>106</v>
      </c>
      <c r="G39" s="163"/>
      <c r="H39" s="164"/>
    </row>
    <row r="40" hidden="1" spans="1:8">
      <c r="A40" s="159"/>
      <c r="B40" s="160">
        <v>34</v>
      </c>
      <c r="C40" s="186"/>
      <c r="D40" s="169"/>
      <c r="E40" s="155"/>
      <c r="F40" s="162">
        <v>107</v>
      </c>
      <c r="G40" s="163"/>
      <c r="H40" s="164"/>
    </row>
    <row r="41" hidden="1" spans="1:8">
      <c r="A41" s="159"/>
      <c r="B41" s="160">
        <v>35</v>
      </c>
      <c r="C41" s="186"/>
      <c r="D41" s="169"/>
      <c r="E41" s="155"/>
      <c r="F41" s="162">
        <v>108</v>
      </c>
      <c r="G41" s="163"/>
      <c r="H41" s="164"/>
    </row>
    <row r="42" hidden="1" spans="1:8">
      <c r="A42" s="159"/>
      <c r="B42" s="160">
        <v>36</v>
      </c>
      <c r="C42" s="186"/>
      <c r="D42" s="169"/>
      <c r="E42" s="155"/>
      <c r="F42" s="162">
        <v>109</v>
      </c>
      <c r="G42" s="163"/>
      <c r="H42" s="164"/>
    </row>
    <row r="43" ht="10.85" spans="1:8">
      <c r="A43" s="170"/>
      <c r="B43" s="171">
        <v>37</v>
      </c>
      <c r="C43" s="188"/>
      <c r="D43" s="172"/>
      <c r="E43" s="173"/>
      <c r="F43" s="174">
        <v>110</v>
      </c>
      <c r="G43" s="175"/>
      <c r="H43" s="189"/>
    </row>
    <row r="44" s="89" customFormat="1" ht="10.85" spans="1:8">
      <c r="A44" s="190" t="s">
        <v>220</v>
      </c>
      <c r="B44" s="191">
        <v>38</v>
      </c>
      <c r="C44" s="192">
        <f>C30+C31</f>
        <v>0</v>
      </c>
      <c r="D44" s="192">
        <f>D30+D31</f>
        <v>0</v>
      </c>
      <c r="E44" s="193" t="s">
        <v>221</v>
      </c>
      <c r="F44" s="194">
        <v>111</v>
      </c>
      <c r="G44" s="195">
        <f>SUM(G30:G34)</f>
        <v>0</v>
      </c>
      <c r="H44" s="196">
        <f>SUM(H30:H34)</f>
        <v>0</v>
      </c>
    </row>
    <row r="45" s="89" customFormat="1" spans="1:8">
      <c r="A45" s="197" t="s">
        <v>222</v>
      </c>
      <c r="B45" s="153">
        <v>39</v>
      </c>
      <c r="C45" s="184"/>
      <c r="D45" s="154"/>
      <c r="E45" s="198" t="s">
        <v>223</v>
      </c>
      <c r="F45" s="156">
        <v>112</v>
      </c>
      <c r="G45" s="157"/>
      <c r="H45" s="158"/>
    </row>
    <row r="46" spans="1:8">
      <c r="A46" s="166" t="s">
        <v>224</v>
      </c>
      <c r="B46" s="160">
        <v>40</v>
      </c>
      <c r="C46" s="169">
        <v>0</v>
      </c>
      <c r="D46" s="169">
        <f>'明细账汇总-资产类科目'!Q27</f>
        <v>0</v>
      </c>
      <c r="E46" s="155" t="s">
        <v>225</v>
      </c>
      <c r="F46" s="162">
        <v>113</v>
      </c>
      <c r="G46" s="163">
        <v>0</v>
      </c>
      <c r="H46" s="164">
        <v>0</v>
      </c>
    </row>
    <row r="47" ht="10.15" spans="1:8">
      <c r="A47" s="166" t="s">
        <v>226</v>
      </c>
      <c r="B47" s="160">
        <v>41</v>
      </c>
      <c r="C47" s="169">
        <v>0</v>
      </c>
      <c r="D47" s="169">
        <f>'明细账汇总-资产类科目'!AP27</f>
        <v>0</v>
      </c>
      <c r="E47" s="155" t="s">
        <v>227</v>
      </c>
      <c r="F47" s="162">
        <v>114</v>
      </c>
      <c r="G47" s="163">
        <v>0</v>
      </c>
      <c r="H47" s="164">
        <v>0</v>
      </c>
    </row>
    <row r="48" spans="1:8">
      <c r="A48" s="166" t="s">
        <v>228</v>
      </c>
      <c r="B48" s="160">
        <v>42</v>
      </c>
      <c r="C48" s="169">
        <f>C46-C47</f>
        <v>0</v>
      </c>
      <c r="D48" s="169">
        <f>D46-D47</f>
        <v>0</v>
      </c>
      <c r="E48" s="155" t="s">
        <v>229</v>
      </c>
      <c r="F48" s="162">
        <v>115</v>
      </c>
      <c r="G48" s="163">
        <v>0</v>
      </c>
      <c r="H48" s="164">
        <v>0</v>
      </c>
    </row>
    <row r="49" ht="10.15" spans="1:8">
      <c r="A49" s="166" t="s">
        <v>230</v>
      </c>
      <c r="B49" s="160">
        <v>43</v>
      </c>
      <c r="C49" s="169"/>
      <c r="D49" s="169"/>
      <c r="E49" s="155"/>
      <c r="F49" s="162">
        <v>116</v>
      </c>
      <c r="G49" s="163"/>
      <c r="H49" s="164"/>
    </row>
    <row r="50" spans="1:8">
      <c r="A50" s="166" t="s">
        <v>231</v>
      </c>
      <c r="B50" s="160">
        <v>44</v>
      </c>
      <c r="C50" s="186"/>
      <c r="D50" s="169"/>
      <c r="E50" s="155"/>
      <c r="F50" s="162">
        <v>117</v>
      </c>
      <c r="G50" s="163"/>
      <c r="H50" s="164"/>
    </row>
    <row r="51" ht="10.15" spans="1:8">
      <c r="A51" s="166" t="s">
        <v>232</v>
      </c>
      <c r="B51" s="160">
        <v>45</v>
      </c>
      <c r="C51" s="186"/>
      <c r="D51" s="169"/>
      <c r="E51" s="155"/>
      <c r="F51" s="162">
        <v>118</v>
      </c>
      <c r="G51" s="163"/>
      <c r="H51" s="164"/>
    </row>
    <row r="52" ht="10.15" spans="1:8">
      <c r="A52" s="166" t="s">
        <v>233</v>
      </c>
      <c r="B52" s="160">
        <v>46</v>
      </c>
      <c r="C52" s="186"/>
      <c r="D52" s="169"/>
      <c r="E52" s="155"/>
      <c r="F52" s="162">
        <v>119</v>
      </c>
      <c r="G52" s="163"/>
      <c r="H52" s="164"/>
    </row>
    <row r="53" spans="1:8">
      <c r="A53" s="159" t="s">
        <v>234</v>
      </c>
      <c r="B53" s="160">
        <v>47</v>
      </c>
      <c r="C53" s="186"/>
      <c r="D53" s="169"/>
      <c r="E53" s="155"/>
      <c r="F53" s="162">
        <v>120</v>
      </c>
      <c r="G53" s="163"/>
      <c r="H53" s="164"/>
    </row>
    <row r="54" ht="10.85" spans="1:8">
      <c r="A54" s="170"/>
      <c r="B54" s="171">
        <v>48</v>
      </c>
      <c r="C54" s="188"/>
      <c r="D54" s="172"/>
      <c r="E54" s="173"/>
      <c r="F54" s="174">
        <v>121</v>
      </c>
      <c r="G54" s="175"/>
      <c r="H54" s="189"/>
    </row>
    <row r="55" s="89" customFormat="1" ht="10.85" spans="1:8">
      <c r="A55" s="190" t="s">
        <v>235</v>
      </c>
      <c r="B55" s="199">
        <v>49</v>
      </c>
      <c r="C55" s="200">
        <f>SUM(C48:C54)</f>
        <v>0</v>
      </c>
      <c r="D55" s="200">
        <f>SUM(D48:D54)</f>
        <v>0</v>
      </c>
      <c r="E55" s="201" t="s">
        <v>236</v>
      </c>
      <c r="F55" s="202">
        <v>122</v>
      </c>
      <c r="G55" s="195">
        <f>SUM(G46:G48)</f>
        <v>0</v>
      </c>
      <c r="H55" s="196">
        <f>SUM(H46:H48)</f>
        <v>0</v>
      </c>
    </row>
    <row r="56" s="89" customFormat="1" spans="1:8">
      <c r="A56" s="197"/>
      <c r="B56" s="153">
        <v>50</v>
      </c>
      <c r="C56" s="184"/>
      <c r="D56" s="154"/>
      <c r="E56" s="198" t="s">
        <v>237</v>
      </c>
      <c r="F56" s="156">
        <v>123</v>
      </c>
      <c r="G56" s="157">
        <f>G28+G44+G55</f>
        <v>0</v>
      </c>
      <c r="H56" s="158">
        <f>H28+H44+H55</f>
        <v>0</v>
      </c>
    </row>
    <row r="57" spans="1:8">
      <c r="A57" s="159"/>
      <c r="B57" s="160">
        <v>51</v>
      </c>
      <c r="C57" s="186"/>
      <c r="D57" s="169"/>
      <c r="E57" s="203" t="s">
        <v>238</v>
      </c>
      <c r="F57" s="204">
        <v>124</v>
      </c>
      <c r="G57" s="205"/>
      <c r="H57" s="206"/>
    </row>
    <row r="58" spans="1:8">
      <c r="A58" s="159"/>
      <c r="B58" s="160">
        <v>52</v>
      </c>
      <c r="C58" s="186"/>
      <c r="D58" s="169"/>
      <c r="E58" s="207" t="s">
        <v>239</v>
      </c>
      <c r="F58" s="204">
        <v>125</v>
      </c>
      <c r="G58" s="205"/>
      <c r="H58" s="206"/>
    </row>
    <row r="59" spans="1:8">
      <c r="A59" s="159"/>
      <c r="B59" s="160">
        <v>53</v>
      </c>
      <c r="C59" s="186"/>
      <c r="D59" s="169"/>
      <c r="E59" s="207" t="s">
        <v>240</v>
      </c>
      <c r="F59" s="204">
        <v>126</v>
      </c>
      <c r="G59" s="205"/>
      <c r="H59" s="206"/>
    </row>
    <row r="60" spans="1:8">
      <c r="A60" s="208" t="s">
        <v>241</v>
      </c>
      <c r="B60" s="160">
        <v>54</v>
      </c>
      <c r="C60" s="186"/>
      <c r="D60" s="169"/>
      <c r="E60" s="207" t="s">
        <v>242</v>
      </c>
      <c r="F60" s="204">
        <v>127</v>
      </c>
      <c r="G60" s="205"/>
      <c r="H60" s="206">
        <f>'明细账汇总-损益类科目'!AL25</f>
        <v>0</v>
      </c>
    </row>
    <row r="61" ht="10.15" spans="1:8">
      <c r="A61" s="159" t="s">
        <v>243</v>
      </c>
      <c r="B61" s="160">
        <v>55</v>
      </c>
      <c r="C61" s="169">
        <v>0</v>
      </c>
      <c r="D61" s="169">
        <f>'明细账汇总-资产类科目'!F27</f>
        <v>0</v>
      </c>
      <c r="E61" s="207" t="s">
        <v>244</v>
      </c>
      <c r="F61" s="204"/>
      <c r="G61" s="205"/>
      <c r="H61" s="206"/>
    </row>
    <row r="62" spans="1:8">
      <c r="A62" s="159" t="s">
        <v>245</v>
      </c>
      <c r="B62" s="160">
        <v>56</v>
      </c>
      <c r="C62" s="169">
        <v>0</v>
      </c>
      <c r="D62" s="169">
        <f>'明细账汇总-资产类科目'!AL27</f>
        <v>0</v>
      </c>
      <c r="E62" s="207" t="s">
        <v>246</v>
      </c>
      <c r="F62" s="204">
        <v>129</v>
      </c>
      <c r="G62" s="205"/>
      <c r="H62" s="206"/>
    </row>
    <row r="63" spans="1:8">
      <c r="A63" s="159" t="s">
        <v>247</v>
      </c>
      <c r="B63" s="160">
        <v>57</v>
      </c>
      <c r="C63" s="169">
        <v>0</v>
      </c>
      <c r="D63" s="169">
        <v>0</v>
      </c>
      <c r="E63" s="207" t="s">
        <v>248</v>
      </c>
      <c r="F63" s="204">
        <v>130</v>
      </c>
      <c r="G63" s="205"/>
      <c r="H63" s="206"/>
    </row>
    <row r="64" spans="1:8">
      <c r="A64" s="159"/>
      <c r="B64" s="160">
        <v>58</v>
      </c>
      <c r="C64" s="186"/>
      <c r="D64" s="169"/>
      <c r="E64" s="207" t="s">
        <v>249</v>
      </c>
      <c r="F64" s="204">
        <v>131</v>
      </c>
      <c r="G64" s="205"/>
      <c r="H64" s="206"/>
    </row>
    <row r="65" spans="1:8">
      <c r="A65" s="159"/>
      <c r="B65" s="160">
        <v>59</v>
      </c>
      <c r="C65" s="186"/>
      <c r="D65" s="169"/>
      <c r="E65" s="207" t="s">
        <v>248</v>
      </c>
      <c r="F65" s="204">
        <v>132</v>
      </c>
      <c r="G65" s="205"/>
      <c r="H65" s="206"/>
    </row>
    <row r="66" ht="10.85" spans="1:8">
      <c r="A66" s="170"/>
      <c r="B66" s="171">
        <v>60</v>
      </c>
      <c r="C66" s="188"/>
      <c r="D66" s="172"/>
      <c r="E66" s="207" t="s">
        <v>250</v>
      </c>
      <c r="F66" s="204">
        <v>133</v>
      </c>
      <c r="G66" s="205"/>
      <c r="H66" s="206"/>
    </row>
    <row r="67" s="89" customFormat="1" ht="10.9" spans="1:8">
      <c r="A67" s="177" t="s">
        <v>251</v>
      </c>
      <c r="B67" s="178">
        <v>61</v>
      </c>
      <c r="C67" s="179">
        <f>SUM(C57:C63)</f>
        <v>0</v>
      </c>
      <c r="D67" s="179">
        <f>SUM(D57:D63)</f>
        <v>0</v>
      </c>
      <c r="E67" s="207" t="s">
        <v>252</v>
      </c>
      <c r="F67" s="204">
        <v>134</v>
      </c>
      <c r="G67" s="205"/>
      <c r="H67" s="206">
        <f>'明细账汇总-损益类科目'!AP25</f>
        <v>0</v>
      </c>
    </row>
    <row r="68" ht="10.15" spans="1:8">
      <c r="A68" s="197" t="s">
        <v>253</v>
      </c>
      <c r="B68" s="153">
        <v>62</v>
      </c>
      <c r="C68" s="209"/>
      <c r="D68" s="210"/>
      <c r="E68" s="211" t="s">
        <v>254</v>
      </c>
      <c r="F68" s="204">
        <v>135</v>
      </c>
      <c r="G68" s="205">
        <v>0</v>
      </c>
      <c r="H68" s="206">
        <v>0</v>
      </c>
    </row>
    <row r="69" ht="10.15" spans="1:8">
      <c r="A69" s="159" t="s">
        <v>255</v>
      </c>
      <c r="B69" s="160">
        <v>63</v>
      </c>
      <c r="C69" s="186"/>
      <c r="D69" s="169"/>
      <c r="E69" s="211" t="s">
        <v>256</v>
      </c>
      <c r="F69" s="204">
        <v>136</v>
      </c>
      <c r="G69" s="205"/>
      <c r="H69" s="206"/>
    </row>
    <row r="70" ht="10.15" spans="1:8">
      <c r="A70" s="166" t="s">
        <v>257</v>
      </c>
      <c r="B70" s="160">
        <v>64</v>
      </c>
      <c r="C70" s="186"/>
      <c r="D70" s="169"/>
      <c r="E70" s="207"/>
      <c r="F70" s="204">
        <v>137</v>
      </c>
      <c r="G70" s="205"/>
      <c r="H70" s="206"/>
    </row>
    <row r="71" spans="1:8">
      <c r="A71" s="159"/>
      <c r="B71" s="160">
        <v>65</v>
      </c>
      <c r="C71" s="186"/>
      <c r="D71" s="169"/>
      <c r="E71" s="207" t="s">
        <v>258</v>
      </c>
      <c r="F71" s="204">
        <v>138</v>
      </c>
      <c r="G71" s="205">
        <v>0</v>
      </c>
      <c r="H71" s="212">
        <f>利润表!C37</f>
        <v>0</v>
      </c>
    </row>
    <row r="72" ht="10.15" spans="1:8">
      <c r="A72" s="159" t="s">
        <v>259</v>
      </c>
      <c r="B72" s="160">
        <v>66</v>
      </c>
      <c r="C72" s="186"/>
      <c r="D72" s="169"/>
      <c r="E72" s="207" t="s">
        <v>260</v>
      </c>
      <c r="F72" s="204">
        <v>139</v>
      </c>
      <c r="G72" s="205">
        <v>0</v>
      </c>
      <c r="H72" s="206">
        <f>'明细账汇总-损益类科目'!AT25</f>
        <v>0</v>
      </c>
    </row>
    <row r="73" spans="1:8">
      <c r="A73" s="159"/>
      <c r="B73" s="160">
        <v>67</v>
      </c>
      <c r="C73" s="186"/>
      <c r="D73" s="169"/>
      <c r="E73" s="207"/>
      <c r="F73" s="204">
        <v>140</v>
      </c>
      <c r="G73" s="205"/>
      <c r="H73" s="206"/>
    </row>
    <row r="74" hidden="1" spans="1:8">
      <c r="A74" s="159"/>
      <c r="B74" s="160">
        <v>68</v>
      </c>
      <c r="C74" s="186"/>
      <c r="D74" s="169"/>
      <c r="E74" s="207"/>
      <c r="F74" s="204">
        <v>141</v>
      </c>
      <c r="G74" s="205"/>
      <c r="H74" s="206"/>
    </row>
    <row r="75" hidden="1" spans="1:8">
      <c r="A75" s="159"/>
      <c r="B75" s="160">
        <v>69</v>
      </c>
      <c r="C75" s="186"/>
      <c r="D75" s="169"/>
      <c r="E75" s="207"/>
      <c r="F75" s="204">
        <v>142</v>
      </c>
      <c r="G75" s="205"/>
      <c r="H75" s="206"/>
    </row>
    <row r="76" hidden="1" spans="1:8">
      <c r="A76" s="159"/>
      <c r="B76" s="160">
        <v>70</v>
      </c>
      <c r="C76" s="186"/>
      <c r="D76" s="169"/>
      <c r="E76" s="207"/>
      <c r="F76" s="204">
        <v>143</v>
      </c>
      <c r="G76" s="205"/>
      <c r="H76" s="206"/>
    </row>
    <row r="77" ht="10.85" spans="1:8">
      <c r="A77" s="170"/>
      <c r="B77" s="171">
        <v>71</v>
      </c>
      <c r="C77" s="188"/>
      <c r="D77" s="172"/>
      <c r="E77" s="213"/>
      <c r="F77" s="214">
        <v>144</v>
      </c>
      <c r="G77" s="215"/>
      <c r="H77" s="216"/>
    </row>
    <row r="78" s="89" customFormat="1" ht="10.85" spans="1:8">
      <c r="A78" s="177" t="s">
        <v>261</v>
      </c>
      <c r="B78" s="178">
        <v>72</v>
      </c>
      <c r="C78" s="179">
        <f>SUM(C69:C73)</f>
        <v>0</v>
      </c>
      <c r="D78" s="179">
        <v>0</v>
      </c>
      <c r="E78" s="217" t="s">
        <v>262</v>
      </c>
      <c r="F78" s="218">
        <v>145</v>
      </c>
      <c r="G78" s="219">
        <f>SUM(G58+G60-G66+G67+G68+G71+G72)</f>
        <v>0</v>
      </c>
      <c r="H78" s="220">
        <f>SUM(H58+H60-H66+H67+H68+H71+H72)</f>
        <v>0</v>
      </c>
    </row>
    <row r="79" s="89" customFormat="1" ht="10.85" spans="1:8">
      <c r="A79" s="221" t="s">
        <v>263</v>
      </c>
      <c r="B79" s="222">
        <v>73</v>
      </c>
      <c r="C79" s="223">
        <f>C78+C55+C28+C67</f>
        <v>0</v>
      </c>
      <c r="D79" s="223">
        <f>D78+D55+D28+D67</f>
        <v>431.76</v>
      </c>
      <c r="E79" s="224" t="s">
        <v>264</v>
      </c>
      <c r="F79" s="225">
        <v>146</v>
      </c>
      <c r="G79" s="226">
        <f>G78+G56</f>
        <v>0</v>
      </c>
      <c r="H79" s="227">
        <f>H78+H56</f>
        <v>0</v>
      </c>
    </row>
    <row r="80" ht="10.85" spans="1:8">
      <c r="G80" s="131">
        <f>C79-G79</f>
        <v>0</v>
      </c>
      <c r="H80" s="131">
        <f>D79-H79</f>
        <v>431.76</v>
      </c>
    </row>
  </sheetData>
  <mergeCells count="2">
    <mergeCell ref="D2:E2"/>
    <mergeCell ref="D4:E4"/>
  </mergeCells>
  <printOptions horizontalCentered="1"/>
  <pageMargins left="0.3" right="0.21875" top="0.559027777777778" bottom="0.409027777777778" header="0.21875" footer="0.238888888888889"/>
  <pageSetup paperSize="9" scale="58" orientation="landscape"/>
  <headerFooter alignWithMargins="0"/>
  <rowBreaks count="1" manualBreakCount="1">
    <brk id="4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48"/>
  <sheetViews>
    <sheetView zoomScale="115" zoomScaleNormal="115" workbookViewId="0">
      <pane xSplit="1" ySplit="6" topLeftCell="B7" activePane="bottomRight" state="frozenSplit"/>
      <selection/>
      <selection pane="topRight"/>
      <selection pane="bottomLeft"/>
      <selection pane="bottomRight" activeCell="B2" sqref="B2"/>
    </sheetView>
  </sheetViews>
  <sheetFormatPr defaultColWidth="12.5714285714286" defaultRowHeight="13.1"/>
  <cols>
    <col min="1" max="1" width="32.2857142857143" style="93" customWidth="1"/>
    <col min="2" max="2" width="37.5714285714286" style="94" customWidth="1"/>
    <col min="3" max="3" width="27.5714285714286" style="95" customWidth="1"/>
    <col min="4" max="42" width="12.5714285714286" style="96" customWidth="1"/>
    <col min="43" max="16384" width="12.5714285714286" style="96"/>
  </cols>
  <sheetData>
    <row r="1" s="87" customFormat="1" ht="13.85" spans="1:42">
      <c r="A1" s="97"/>
      <c r="B1" s="98" t="s">
        <v>265</v>
      </c>
      <c r="C1" s="98"/>
    </row>
    <row r="2" s="87" customFormat="1" ht="13.9" spans="1:42">
      <c r="A2" s="97"/>
      <c r="B2" s="94" t="s">
        <v>266</v>
      </c>
      <c r="C2" s="99"/>
    </row>
    <row r="3" s="87" customFormat="1" spans="1:42">
      <c r="B3" s="100"/>
      <c r="C3" s="100"/>
    </row>
    <row r="4" s="87" customFormat="1" spans="1:42">
      <c r="A4" s="101"/>
      <c r="B4" s="94"/>
      <c r="C4" s="99"/>
    </row>
    <row r="5" s="88" customFormat="1" ht="17.25" customHeight="1" spans="1:42">
      <c r="A5" s="101" t="str">
        <f>资产负债表!A4</f>
        <v>XX贸易有限公司</v>
      </c>
      <c r="B5" s="102"/>
      <c r="C5" s="103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</row>
    <row r="6" s="89" customFormat="1" ht="10.15" spans="1:42">
      <c r="A6" s="104" t="s">
        <v>267</v>
      </c>
      <c r="B6" s="105" t="s">
        <v>178</v>
      </c>
      <c r="C6" s="106" t="s">
        <v>268</v>
      </c>
    </row>
    <row r="7" s="89" customFormat="1" ht="10.1" spans="1:42">
      <c r="A7" s="107" t="s">
        <v>269</v>
      </c>
      <c r="B7" s="108" t="s">
        <v>270</v>
      </c>
      <c r="C7" s="109">
        <f>C8+C9</f>
        <v>0</v>
      </c>
    </row>
    <row r="8" s="90" customFormat="1" ht="10.15" spans="1:42">
      <c r="A8" s="110" t="s">
        <v>271</v>
      </c>
      <c r="B8" s="111" t="s">
        <v>272</v>
      </c>
      <c r="C8" s="112">
        <f>'明细账汇总-损益类科目'!B25</f>
        <v>0</v>
      </c>
    </row>
    <row r="9" s="90" customFormat="1" ht="10.1" spans="1:42">
      <c r="A9" s="110" t="s">
        <v>273</v>
      </c>
      <c r="B9" s="108" t="s">
        <v>274</v>
      </c>
      <c r="C9" s="112"/>
    </row>
    <row r="10" s="90" customFormat="1" ht="10.1" spans="1:42">
      <c r="A10" s="110"/>
      <c r="B10" s="111" t="s">
        <v>275</v>
      </c>
      <c r="C10" s="112"/>
    </row>
    <row r="11" s="91" customFormat="1" ht="10.85" spans="1:42">
      <c r="A11" s="113"/>
      <c r="B11" s="114" t="s">
        <v>276</v>
      </c>
      <c r="C11" s="115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</row>
    <row r="12" s="89" customFormat="1" ht="10.15" spans="1:42">
      <c r="A12" s="107" t="s">
        <v>277</v>
      </c>
      <c r="B12" s="111" t="s">
        <v>278</v>
      </c>
      <c r="C12" s="109">
        <f>C7</f>
        <v>0</v>
      </c>
    </row>
    <row r="13" s="90" customFormat="1" ht="10.1" spans="1:42">
      <c r="A13" s="110" t="s">
        <v>279</v>
      </c>
      <c r="B13" s="108" t="s">
        <v>280</v>
      </c>
      <c r="C13" s="112">
        <f>'明细账汇总-损益类科目'!N25+'明细账汇总-损益类科目'!R25</f>
        <v>0</v>
      </c>
    </row>
    <row r="14" s="90" customFormat="1" ht="10.15" spans="1:42">
      <c r="A14" s="110" t="s">
        <v>281</v>
      </c>
      <c r="B14" s="111" t="s">
        <v>282</v>
      </c>
      <c r="C14" s="112">
        <f>'明细账汇总-损益类科目'!V25</f>
        <v>0</v>
      </c>
    </row>
    <row r="15" s="90" customFormat="1" ht="10.1" spans="1:42">
      <c r="A15" s="110"/>
      <c r="B15" s="108" t="s">
        <v>283</v>
      </c>
      <c r="C15" s="112"/>
    </row>
    <row r="16" s="90" customFormat="1" ht="10.1" spans="1:42">
      <c r="A16" s="110"/>
      <c r="B16" s="111" t="s">
        <v>284</v>
      </c>
      <c r="C16" s="112"/>
    </row>
    <row r="17" s="91" customFormat="1" ht="10.85" spans="1:42">
      <c r="A17" s="113"/>
      <c r="B17" s="114" t="s">
        <v>285</v>
      </c>
      <c r="C17" s="115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</row>
    <row r="18" s="89" customFormat="1" ht="10.1" spans="1:42">
      <c r="A18" s="107" t="s">
        <v>286</v>
      </c>
      <c r="B18" s="111" t="s">
        <v>287</v>
      </c>
      <c r="C18" s="116">
        <f>C12-C13-C14</f>
        <v>0</v>
      </c>
    </row>
    <row r="19" s="90" customFormat="1" ht="10.15" spans="1:42">
      <c r="A19" s="110" t="s">
        <v>288</v>
      </c>
      <c r="B19" s="108" t="s">
        <v>289</v>
      </c>
      <c r="C19" s="112">
        <f>'明细账汇总-损益类科目'!Z25</f>
        <v>0</v>
      </c>
    </row>
    <row r="20" s="90" customFormat="1" ht="10.15" spans="1:42">
      <c r="A20" s="110" t="s">
        <v>290</v>
      </c>
      <c r="B20" s="111" t="s">
        <v>291</v>
      </c>
      <c r="C20" s="117">
        <f>'明细账汇总-损益类科目'!AD25</f>
        <v>0</v>
      </c>
      <c r="D20" s="118"/>
      <c r="E20" s="118"/>
    </row>
    <row r="21" s="90" customFormat="1" ht="10.15" spans="1:42">
      <c r="A21" s="110" t="s">
        <v>292</v>
      </c>
      <c r="B21" s="108" t="s">
        <v>293</v>
      </c>
      <c r="C21" s="117">
        <f>'明细账汇总-损益类科目'!AH25</f>
        <v>0</v>
      </c>
      <c r="D21" s="118"/>
      <c r="E21" s="118"/>
    </row>
    <row r="22" s="90" customFormat="1" ht="10.15" spans="1:42">
      <c r="A22" s="110" t="s">
        <v>294</v>
      </c>
      <c r="B22" s="111" t="s">
        <v>295</v>
      </c>
      <c r="C22" s="112">
        <v>0</v>
      </c>
      <c r="E22" s="118"/>
    </row>
    <row r="23" s="90" customFormat="1" ht="10.15" spans="1:42">
      <c r="A23" s="110" t="s">
        <v>296</v>
      </c>
      <c r="B23" s="108" t="s">
        <v>297</v>
      </c>
      <c r="C23" s="112">
        <v>0</v>
      </c>
      <c r="E23" s="118"/>
    </row>
    <row r="24" s="90" customFormat="1" ht="10.1" spans="1:42">
      <c r="A24" s="110"/>
      <c r="B24" s="111" t="s">
        <v>298</v>
      </c>
      <c r="C24" s="112"/>
      <c r="E24" s="118"/>
    </row>
    <row r="25" s="90" customFormat="1" ht="10.1" spans="1:42">
      <c r="A25" s="110" t="s">
        <v>299</v>
      </c>
      <c r="B25" s="108" t="s">
        <v>300</v>
      </c>
      <c r="C25" s="112">
        <f>'明细账汇总-损益类科目'!J25</f>
        <v>0</v>
      </c>
      <c r="E25" s="118"/>
    </row>
    <row r="26" s="90" customFormat="1" ht="10.1" spans="1:42">
      <c r="A26" s="110"/>
      <c r="B26" s="111" t="s">
        <v>301</v>
      </c>
      <c r="C26" s="112"/>
      <c r="E26" s="118"/>
    </row>
    <row r="27" s="91" customFormat="1" ht="10.9" spans="1:42">
      <c r="A27" s="113" t="s">
        <v>302</v>
      </c>
      <c r="B27" s="114" t="s">
        <v>303</v>
      </c>
      <c r="C27" s="115">
        <v>0</v>
      </c>
      <c r="D27" s="90"/>
      <c r="E27" s="118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</row>
    <row r="28" s="89" customFormat="1" ht="10.1" spans="1:42">
      <c r="A28" s="107" t="s">
        <v>304</v>
      </c>
      <c r="B28" s="111" t="s">
        <v>305</v>
      </c>
      <c r="C28" s="109">
        <f>C18-C19-C20-C21+C25</f>
        <v>0</v>
      </c>
      <c r="E28" s="118"/>
    </row>
    <row r="29" s="90" customFormat="1" ht="10.1" spans="1:42">
      <c r="A29" s="110" t="s">
        <v>306</v>
      </c>
      <c r="B29" s="108" t="s">
        <v>307</v>
      </c>
      <c r="C29" s="112">
        <f>'明细账汇总-损益类科目'!F25</f>
        <v>0</v>
      </c>
      <c r="E29" s="118"/>
    </row>
    <row r="30" s="90" customFormat="1" ht="10.1" spans="1:42">
      <c r="A30" s="110" t="s">
        <v>308</v>
      </c>
      <c r="B30" s="111" t="s">
        <v>309</v>
      </c>
      <c r="C30" s="112"/>
      <c r="E30" s="118"/>
    </row>
    <row r="31" s="90" customFormat="1" ht="10.1" spans="1:42">
      <c r="A31" s="110" t="s">
        <v>310</v>
      </c>
      <c r="B31" s="108" t="s">
        <v>311</v>
      </c>
      <c r="C31" s="112">
        <f>'明细账汇总-损益类科目'!AX25</f>
        <v>0</v>
      </c>
      <c r="E31" s="118"/>
    </row>
    <row r="32" s="90" customFormat="1" ht="10.1" spans="1:42">
      <c r="A32" s="110" t="s">
        <v>312</v>
      </c>
      <c r="B32" s="111" t="s">
        <v>313</v>
      </c>
      <c r="C32" s="112">
        <v>0</v>
      </c>
      <c r="E32" s="118"/>
    </row>
    <row r="33" s="90" customFormat="1" ht="10.1" spans="1:42">
      <c r="A33" s="110"/>
      <c r="B33" s="108" t="s">
        <v>314</v>
      </c>
      <c r="C33" s="112"/>
      <c r="E33" s="118"/>
    </row>
    <row r="34" s="91" customFormat="1" ht="10.85" spans="1:42">
      <c r="A34" s="113"/>
      <c r="B34" s="114" t="s">
        <v>315</v>
      </c>
      <c r="C34" s="115"/>
      <c r="D34" s="90"/>
      <c r="E34" s="118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</row>
    <row r="35" s="89" customFormat="1" ht="10.1" spans="1:42">
      <c r="A35" s="107" t="s">
        <v>316</v>
      </c>
      <c r="B35" s="108" t="s">
        <v>317</v>
      </c>
      <c r="C35" s="109">
        <f>C28+C29+C30+C31-C32</f>
        <v>0</v>
      </c>
      <c r="E35" s="118"/>
    </row>
    <row r="36" s="91" customFormat="1" ht="10.85" spans="1:42">
      <c r="A36" s="119" t="s">
        <v>318</v>
      </c>
      <c r="B36" s="111" t="s">
        <v>319</v>
      </c>
      <c r="C36" s="115">
        <v>0</v>
      </c>
      <c r="D36" s="118"/>
      <c r="E36" s="118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</row>
    <row r="37" s="92" customFormat="1" ht="10.85" spans="1:42">
      <c r="A37" s="120" t="s">
        <v>320</v>
      </c>
      <c r="B37" s="121">
        <v>31</v>
      </c>
      <c r="C37" s="109">
        <f>C35-C36</f>
        <v>0</v>
      </c>
      <c r="D37" s="89"/>
      <c r="E37" s="118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</row>
    <row r="38" s="90" customFormat="1" ht="10.85" spans="1:42">
      <c r="A38" s="122"/>
      <c r="B38" s="123"/>
      <c r="C38" s="124"/>
    </row>
    <row r="39" s="90" customFormat="1" ht="10.1" spans="1:42">
      <c r="A39" s="125"/>
      <c r="B39" s="126"/>
      <c r="C39" s="127"/>
    </row>
    <row r="40" s="90" customFormat="1" ht="10.1" spans="1:42">
      <c r="A40" s="125"/>
      <c r="B40" s="126"/>
      <c r="C40" s="127"/>
    </row>
    <row r="41" s="90" customFormat="1" ht="10.1" spans="1:42">
      <c r="A41" s="125"/>
      <c r="B41" s="126"/>
      <c r="C41" s="127"/>
    </row>
    <row r="42" s="90" customFormat="1" ht="10.1" spans="1:42">
      <c r="A42" s="125"/>
      <c r="B42" s="126"/>
      <c r="C42" s="127"/>
    </row>
    <row r="43" spans="1:42">
      <c r="C43" s="128"/>
    </row>
    <row r="44" spans="1:42">
      <c r="C44" s="128"/>
    </row>
    <row r="45" spans="1:42">
      <c r="C45" s="128"/>
    </row>
    <row r="46" spans="1:42">
      <c r="C46" s="128"/>
    </row>
    <row r="47" spans="1:42">
      <c r="C47" s="128"/>
    </row>
    <row r="48" spans="1:42">
      <c r="C48" s="128"/>
    </row>
  </sheetData>
  <mergeCells count="2">
    <mergeCell ref="B1:C1"/>
    <mergeCell ref="B3:C3"/>
  </mergeCells>
  <printOptions horizontalCentered="1"/>
  <pageMargins left="0.379166666666667" right="0.16875" top="0.409027777777778" bottom="0.409027777777778" header="0.259027777777778" footer="0.229166666666667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63"/>
  <sheetViews>
    <sheetView topLeftCell="AK1" workbookViewId="0">
      <selection activeCell="AY52" sqref="AY52"/>
    </sheetView>
  </sheetViews>
  <sheetFormatPr defaultColWidth="9" defaultRowHeight="12.75"/>
  <cols>
    <col min="1" max="1" width="18.5714285714286" style="69" customWidth="1"/>
    <col min="2" max="2" width="20" style="69" customWidth="1"/>
    <col min="3" max="3" width="72" style="69" customWidth="1"/>
    <col min="8" max="10" width="30.5714285714286" customWidth="1"/>
    <col min="11" max="12" width="23.5714285714286" customWidth="1"/>
    <col min="13" max="14" width="29.5714285714286" customWidth="1"/>
    <col min="15" max="16" width="27.5714285714286" customWidth="1"/>
    <col min="17" max="18" width="21.5714285714286" customWidth="1"/>
    <col min="19" max="20" width="29.5714285714286" customWidth="1"/>
    <col min="21" max="22" width="31.5714285714286" customWidth="1"/>
    <col min="23" max="24" width="15.8571428571429" customWidth="1"/>
    <col min="25" max="26" width="21.5714285714286" customWidth="1"/>
    <col min="27" max="28" width="29.5714285714286" customWidth="1"/>
    <col min="29" max="30" width="19.5714285714286" customWidth="1"/>
    <col min="31" max="32" width="23.5714285714286" customWidth="1"/>
    <col min="33" max="34" width="51.1428571428571" customWidth="1"/>
    <col min="35" max="36" width="29.5714285714286" customWidth="1"/>
    <col min="37" max="38" width="13.8571428571429" customWidth="1"/>
    <col min="39" max="40" width="47.1428571428571" customWidth="1"/>
    <col min="41" max="44" width="19.5714285714286" customWidth="1"/>
    <col min="45" max="46" width="29.5714285714286" customWidth="1"/>
    <col min="47" max="48" width="19.5714285714286" customWidth="1"/>
    <col min="49" max="50" width="35.4285714285714" customWidth="1"/>
    <col min="51" max="51" width="29.5714285714286" customWidth="1"/>
  </cols>
  <sheetData>
    <row r="1" ht="13.85" spans="1:51">
      <c r="A1"/>
      <c r="B1"/>
      <c r="C1"/>
      <c r="E1" s="70"/>
      <c r="H1" s="70"/>
      <c r="I1" s="70" t="s">
        <v>14</v>
      </c>
      <c r="J1" s="70"/>
      <c r="K1" s="70" t="s">
        <v>16</v>
      </c>
      <c r="L1" s="70"/>
      <c r="M1" s="70" t="s">
        <v>18</v>
      </c>
      <c r="N1" s="70"/>
      <c r="O1" s="70" t="s">
        <v>20</v>
      </c>
      <c r="P1" s="70"/>
      <c r="Q1" s="70" t="s">
        <v>22</v>
      </c>
      <c r="R1" s="70"/>
      <c r="S1" s="70" t="s">
        <v>24</v>
      </c>
      <c r="T1" s="70"/>
      <c r="U1" s="71" t="s">
        <v>26</v>
      </c>
      <c r="V1" s="71"/>
      <c r="W1" s="71" t="s">
        <v>28</v>
      </c>
      <c r="X1" s="71"/>
      <c r="Y1" s="71" t="s">
        <v>30</v>
      </c>
      <c r="Z1" s="72"/>
      <c r="AA1" s="71" t="s">
        <v>32</v>
      </c>
      <c r="AB1" s="71"/>
      <c r="AC1" s="73" t="s">
        <v>35</v>
      </c>
      <c r="AD1" s="73"/>
      <c r="AE1" s="73" t="s">
        <v>37</v>
      </c>
      <c r="AF1" s="73"/>
      <c r="AG1" s="73" t="s">
        <v>39</v>
      </c>
      <c r="AH1" s="74"/>
      <c r="AI1" s="73" t="s">
        <v>41</v>
      </c>
      <c r="AJ1" s="73"/>
      <c r="AK1" s="75" t="s">
        <v>43</v>
      </c>
      <c r="AL1" s="75"/>
      <c r="AM1" s="75" t="s">
        <v>46</v>
      </c>
      <c r="AN1" s="75"/>
      <c r="AO1" s="76" t="s">
        <v>48</v>
      </c>
      <c r="AP1" s="76"/>
      <c r="AQ1" s="76" t="s">
        <v>52</v>
      </c>
      <c r="AR1" s="76"/>
      <c r="AS1" s="76" t="s">
        <v>54</v>
      </c>
      <c r="AT1" s="76"/>
      <c r="AU1" s="77" t="s">
        <v>56</v>
      </c>
      <c r="AV1" s="77"/>
      <c r="AW1" s="77" t="s">
        <v>58</v>
      </c>
      <c r="AX1" s="77"/>
      <c r="AY1" s="77" t="s">
        <v>60</v>
      </c>
    </row>
    <row r="2" ht="15.75" spans="1:51">
      <c r="A2" s="78" t="s">
        <v>4</v>
      </c>
      <c r="B2" s="78" t="s">
        <v>5</v>
      </c>
      <c r="C2" s="78" t="s">
        <v>9</v>
      </c>
      <c r="E2" s="70"/>
      <c r="H2" s="79" t="s">
        <v>321</v>
      </c>
      <c r="I2" s="79" t="s">
        <v>322</v>
      </c>
      <c r="J2" s="79" t="s">
        <v>321</v>
      </c>
      <c r="K2" s="79" t="s">
        <v>322</v>
      </c>
      <c r="L2" s="79" t="s">
        <v>321</v>
      </c>
      <c r="M2" s="79" t="s">
        <v>322</v>
      </c>
      <c r="N2" s="79" t="s">
        <v>321</v>
      </c>
      <c r="O2" s="79" t="s">
        <v>322</v>
      </c>
      <c r="P2" s="79" t="s">
        <v>321</v>
      </c>
      <c r="Q2" s="79" t="s">
        <v>322</v>
      </c>
      <c r="R2" s="79" t="s">
        <v>321</v>
      </c>
      <c r="S2" s="79" t="s">
        <v>322</v>
      </c>
      <c r="T2" s="79" t="s">
        <v>321</v>
      </c>
      <c r="U2" s="79" t="s">
        <v>322</v>
      </c>
      <c r="V2" s="79" t="s">
        <v>321</v>
      </c>
      <c r="W2" s="79" t="s">
        <v>322</v>
      </c>
      <c r="X2" s="79" t="s">
        <v>321</v>
      </c>
      <c r="Y2" s="79" t="s">
        <v>322</v>
      </c>
      <c r="Z2" s="79" t="s">
        <v>321</v>
      </c>
      <c r="AA2" s="79" t="s">
        <v>322</v>
      </c>
      <c r="AB2" s="79" t="s">
        <v>321</v>
      </c>
      <c r="AC2" s="79" t="s">
        <v>322</v>
      </c>
      <c r="AD2" s="79" t="s">
        <v>321</v>
      </c>
      <c r="AE2" s="79" t="s">
        <v>322</v>
      </c>
      <c r="AF2" s="79" t="s">
        <v>321</v>
      </c>
      <c r="AG2" s="79" t="s">
        <v>322</v>
      </c>
      <c r="AH2" s="79" t="s">
        <v>321</v>
      </c>
      <c r="AI2" s="79" t="s">
        <v>322</v>
      </c>
      <c r="AJ2" s="79" t="s">
        <v>321</v>
      </c>
      <c r="AK2" s="79" t="s">
        <v>322</v>
      </c>
      <c r="AL2" s="79" t="s">
        <v>321</v>
      </c>
      <c r="AM2" s="79" t="s">
        <v>322</v>
      </c>
      <c r="AN2" s="79" t="s">
        <v>321</v>
      </c>
      <c r="AO2" s="79" t="s">
        <v>322</v>
      </c>
      <c r="AP2" s="79" t="s">
        <v>321</v>
      </c>
      <c r="AQ2" s="79" t="s">
        <v>322</v>
      </c>
      <c r="AR2" s="79" t="s">
        <v>321</v>
      </c>
      <c r="AS2" s="79" t="s">
        <v>322</v>
      </c>
      <c r="AT2" s="80" t="s">
        <v>321</v>
      </c>
      <c r="AU2" s="79" t="s">
        <v>322</v>
      </c>
      <c r="AV2" s="79" t="s">
        <v>321</v>
      </c>
      <c r="AW2" s="79" t="s">
        <v>322</v>
      </c>
      <c r="AX2" s="79" t="s">
        <v>321</v>
      </c>
      <c r="AY2" s="79" t="s">
        <v>322</v>
      </c>
    </row>
    <row r="3" ht="15.75" spans="1:51">
      <c r="A3" s="81"/>
      <c r="B3" s="81"/>
      <c r="C3" s="82"/>
      <c r="E3" s="70"/>
    </row>
    <row r="4" ht="13.85" spans="1:51">
      <c r="A4" s="83"/>
      <c r="B4" s="83"/>
      <c r="C4" s="84"/>
      <c r="E4" s="70"/>
      <c r="H4" t="str">
        <f>IF(C4="取得的销售货物收到的现金",A4,"0")</f>
        <v>0</v>
      </c>
      <c r="I4" t="str">
        <f>IF(C4="取得的销售货物收到的现金",B4,"0")</f>
        <v>0</v>
      </c>
      <c r="J4" t="str">
        <f>IF(C4="取得的提供服务到的现金",A4,"0")</f>
        <v>0</v>
      </c>
      <c r="K4" t="str">
        <f>IF(C4="取得的提供服务到的现金",B4,"0")</f>
        <v>0</v>
      </c>
      <c r="L4" t="str">
        <f>IF(C4="收取利息、手续费及佣金的现金",A4,"0")</f>
        <v>0</v>
      </c>
      <c r="M4" t="str">
        <f>IF(C4="收取利息、手续费及佣金的现金",B4,"0")</f>
        <v>0</v>
      </c>
      <c r="N4" t="str">
        <f>IF(C4="处置交易性金融资产净增加额",A4,"0")</f>
        <v>0</v>
      </c>
      <c r="O4" t="str">
        <f>IF(C4="处置交易性金融资产净增加额",B4,"0")</f>
        <v>0</v>
      </c>
      <c r="P4" t="str">
        <f>IF(C4="回购业务资金净增加额",A4,"0")</f>
        <v>0</v>
      </c>
      <c r="Q4" t="str">
        <f>IF(C4="回购业务资金净增加额",B4,"0")</f>
        <v>0</v>
      </c>
      <c r="R4" t="str">
        <f>IF(C4="收到其他与经营活动有关的现金",A4,"0")</f>
        <v>0</v>
      </c>
      <c r="S4" t="str">
        <f>IF(C4="收到其他与经营活动有关的现金",B4,"0")</f>
        <v>0</v>
      </c>
      <c r="T4" t="str">
        <f>IF(C4="支付给职工以及为职工支付的现金",A4,"0")</f>
        <v>0</v>
      </c>
      <c r="U4" t="str">
        <f>IF(C4="支付给职工以及为职工支付的现金",B4,"0")</f>
        <v>0</v>
      </c>
      <c r="V4" t="str">
        <f>IF(C4="支付的各项税费",A4,"0")</f>
        <v>0</v>
      </c>
      <c r="W4" t="str">
        <f>IF(C4="支付的各项税费",B4,"0")</f>
        <v>0</v>
      </c>
      <c r="X4" t="str">
        <f>IF(C4="回购业务资金净减少额",A4,"0")</f>
        <v>0</v>
      </c>
      <c r="Y4" t="str">
        <f>IF(C4="回购业务资金净减少额",B4,"0")</f>
        <v>0</v>
      </c>
      <c r="Z4" t="str">
        <f>IF(C4="支付其他与经营活动有关的现金",A4,"0")</f>
        <v>0</v>
      </c>
      <c r="AA4" t="str">
        <f>IF(C4="支付其他与经营活动有关的现金",B4,"0")</f>
        <v>0</v>
      </c>
      <c r="AB4" t="str">
        <f>IF(C4="收回投资收到的现金",A4,"0")</f>
        <v>0</v>
      </c>
      <c r="AC4" t="str">
        <f>IF(C4="收回投资收到的现金",B4,"0")</f>
        <v>0</v>
      </c>
      <c r="AD4" t="str">
        <f>IF(C4="取得投资收益收到的现金",A4,"0")</f>
        <v>0</v>
      </c>
      <c r="AE4" t="str">
        <f>IF(C4="取得投资收益收到的现金",B4,"0")</f>
        <v>0</v>
      </c>
      <c r="AF4" t="str">
        <f>IF(C4="处置固定资产、无形资产和其他长期资产收到的现金净额",A4,"0")</f>
        <v>0</v>
      </c>
      <c r="AG4" t="str">
        <f>IF(C4="处置固定资产、无形资产和其他长期资产收到的现金净额",B4,"0")</f>
        <v>0</v>
      </c>
      <c r="AH4" t="str">
        <f>IF(C4="收到其他与投资活动有关的现金",A4,"0")</f>
        <v>0</v>
      </c>
      <c r="AI4" t="str">
        <f>IF(C4="收到其他与投资活动有关的现金",B4,"0")</f>
        <v>0</v>
      </c>
      <c r="AJ4" t="str">
        <f>IF(C4="投资支付现金",A4,"0")</f>
        <v>0</v>
      </c>
      <c r="AK4" t="str">
        <f>IF(C4="投资支付现金",B4,"0")</f>
        <v>0</v>
      </c>
      <c r="AL4" t="str">
        <f>IF(C4="购建固定资产、无形资产和其他长期资产支付的现金",A4,"0")</f>
        <v>0</v>
      </c>
      <c r="AM4" t="str">
        <f>IF(C4="购建固定资产、无形资产和其他长期资产支付的现金",B4,"0")</f>
        <v>0</v>
      </c>
      <c r="AN4" t="str">
        <f>IF(C4="吸收投资收到的现金",A4,"0")</f>
        <v>0</v>
      </c>
      <c r="AO4" t="str">
        <f>IF(C4="吸收投资收到的现金",B4,"0")</f>
        <v>0</v>
      </c>
      <c r="AP4" t="str">
        <f>IF(C4="取得借款收到的现金",A4,"0")</f>
        <v>0</v>
      </c>
      <c r="AQ4" t="str">
        <f>IF(C4="取得借款收到的现金",B4,"0")</f>
        <v>0</v>
      </c>
      <c r="AR4" t="str">
        <f>IF(C4="收到其他与筹资活动有关的现金",A4,"0")</f>
        <v>0</v>
      </c>
      <c r="AS4" t="str">
        <f>IF(C4="收到其他与筹资活动有关的现金",B4,"0")</f>
        <v>0</v>
      </c>
      <c r="AT4" t="str">
        <f>IF(C4="偿还债务支付的现金",A4,"0")</f>
        <v>0</v>
      </c>
      <c r="AU4" t="str">
        <f>IF(C4="偿还债务支付的现金",B4,"0")</f>
        <v>0</v>
      </c>
      <c r="AV4" t="str">
        <f>IF(C4="分配股利、利润或偿付利息支付的现金",A4,"0")</f>
        <v>0</v>
      </c>
      <c r="AW4" t="str">
        <f>IF(C4="分配股利、利润或偿付利息支付的现金",B4,"0")</f>
        <v>0</v>
      </c>
      <c r="AX4" t="str">
        <f>IF(C4="支付其他与筹资活动有关的现金",A4,"0")</f>
        <v>0</v>
      </c>
      <c r="AY4" t="str">
        <f>IF(C4="支付其他与筹资活动有关的现金",B4,"0")</f>
        <v>0</v>
      </c>
    </row>
    <row r="5" ht="13.85" spans="1:51">
      <c r="A5" s="83"/>
      <c r="B5" s="83"/>
      <c r="C5" s="84"/>
      <c r="E5" s="70"/>
      <c r="H5" t="str">
        <f t="shared" ref="H5:H50" si="0">IF(C5="取得的销售货物收到的现金",A5,"0")</f>
        <v>0</v>
      </c>
      <c r="I5" t="str">
        <f t="shared" ref="I5:I50" si="1">IF(C5="取得的销售货物收到的现金",B5,"0")</f>
        <v>0</v>
      </c>
      <c r="J5" t="str">
        <f t="shared" ref="J5:J50" si="2">IF(C5="取得的提供服务到的现金",A5,"0")</f>
        <v>0</v>
      </c>
      <c r="K5" t="str">
        <f t="shared" ref="K5:K50" si="3">IF(C5="取得的提供服务到的现金",B5,"0")</f>
        <v>0</v>
      </c>
      <c r="L5" t="str">
        <f t="shared" ref="L5:L50" si="4">IF(C5="收取利息、手续费及佣金的现金",A5,"0")</f>
        <v>0</v>
      </c>
      <c r="M5" t="str">
        <f t="shared" ref="M5:M50" si="5">IF(C5="收取利息、手续费及佣金的现金",B5,"0")</f>
        <v>0</v>
      </c>
      <c r="N5" t="str">
        <f t="shared" ref="N5:N50" si="6">IF(C5="处置交易性金融资产净增加额",A5,"0")</f>
        <v>0</v>
      </c>
      <c r="O5" t="str">
        <f t="shared" ref="O5:O50" si="7">IF(C5="处置交易性金融资产净增加额",B5,"0")</f>
        <v>0</v>
      </c>
      <c r="P5" t="str">
        <f t="shared" ref="P5:P50" si="8">IF(C5="回购业务资金净增加额",A5,"0")</f>
        <v>0</v>
      </c>
      <c r="Q5" t="str">
        <f t="shared" ref="Q5:Q50" si="9">IF(C5="回购业务资金净增加额",B5,"0")</f>
        <v>0</v>
      </c>
      <c r="R5" t="str">
        <f t="shared" ref="R5:R50" si="10">IF(C5="收到其他与经营活动有关的现金",A5,"0")</f>
        <v>0</v>
      </c>
      <c r="S5" t="str">
        <f t="shared" ref="S5:S50" si="11">IF(C5="收到其他与经营活动有关的现金",B5,"0")</f>
        <v>0</v>
      </c>
      <c r="T5" t="str">
        <f t="shared" ref="T5:T50" si="12">IF(C5="支付给职工以及为职工支付的现金",A5,"0")</f>
        <v>0</v>
      </c>
      <c r="U5" t="str">
        <f t="shared" ref="U5:U50" si="13">IF(C5="支付给职工以及为职工支付的现金",B5,"0")</f>
        <v>0</v>
      </c>
      <c r="V5" t="str">
        <f t="shared" ref="V5:V50" si="14">IF(C5="支付的各项税费",A5,"0")</f>
        <v>0</v>
      </c>
      <c r="W5" t="str">
        <f t="shared" ref="W5:W50" si="15">IF(C5="支付的各项税费",B5,"0")</f>
        <v>0</v>
      </c>
      <c r="X5" t="str">
        <f t="shared" ref="X5:X50" si="16">IF(C5="回购业务资金净减少额",A5,"0")</f>
        <v>0</v>
      </c>
      <c r="Y5" t="str">
        <f t="shared" ref="Y5:Y50" si="17">IF(C5="回购业务资金净减少额",B5,"0")</f>
        <v>0</v>
      </c>
      <c r="Z5" t="str">
        <f t="shared" ref="Z5:Z50" si="18">IF(C5="支付其他与经营活动有关的现金",A5,"0")</f>
        <v>0</v>
      </c>
      <c r="AA5" t="str">
        <f t="shared" ref="AA5:AA50" si="19">IF(C5="支付其他与经营活动有关的现金",B5,"0")</f>
        <v>0</v>
      </c>
      <c r="AB5" t="str">
        <f t="shared" ref="AB5:AB50" si="20">IF(C5="收回投资收到的现金",A5,"0")</f>
        <v>0</v>
      </c>
      <c r="AC5" t="str">
        <f t="shared" ref="AC5:AC50" si="21">IF(C5="收回投资收到的现金",B5,"0")</f>
        <v>0</v>
      </c>
      <c r="AD5" t="str">
        <f t="shared" ref="AD5:AD50" si="22">IF(C5="取得投资收益收到的现金",A5,"0")</f>
        <v>0</v>
      </c>
      <c r="AE5" t="str">
        <f t="shared" ref="AE5:AE50" si="23">IF(C5="取得投资收益收到的现金",B5,"0")</f>
        <v>0</v>
      </c>
      <c r="AF5" t="str">
        <f t="shared" ref="AF5:AF50" si="24">IF(C5="处置固定资产、无形资产和其他长期资产收到的现金净额",A5,"0")</f>
        <v>0</v>
      </c>
      <c r="AG5" t="str">
        <f t="shared" ref="AG5:AG50" si="25">IF(C5="处置固定资产、无形资产和其他长期资产收到的现金净额",B5,"0")</f>
        <v>0</v>
      </c>
      <c r="AH5" t="str">
        <f t="shared" ref="AH5:AH50" si="26">IF(C5="收到其他与投资活动有关的现金",A5,"0")</f>
        <v>0</v>
      </c>
      <c r="AI5" t="str">
        <f t="shared" ref="AI5:AI50" si="27">IF(C5="收到其他与投资活动有关的现金",B5,"0")</f>
        <v>0</v>
      </c>
      <c r="AJ5" t="str">
        <f t="shared" ref="AJ5:AJ50" si="28">IF(C5="投资支付现金",A5,"0")</f>
        <v>0</v>
      </c>
      <c r="AK5" t="str">
        <f t="shared" ref="AK5:AK50" si="29">IF(C5="投资支付现金",B5,"0")</f>
        <v>0</v>
      </c>
      <c r="AL5" t="str">
        <f t="shared" ref="AL5:AL50" si="30">IF(C5="购建固定资产、无形资产和其他长期资产支付的现金",A5,"0")</f>
        <v>0</v>
      </c>
      <c r="AM5" t="str">
        <f t="shared" ref="AM5:AM50" si="31">IF(C5="购建固定资产、无形资产和其他长期资产支付的现金",B5,"0")</f>
        <v>0</v>
      </c>
      <c r="AN5" t="str">
        <f t="shared" ref="AN5:AN50" si="32">IF(C5="吸收投资收到的现金",A5,"0")</f>
        <v>0</v>
      </c>
      <c r="AO5" t="str">
        <f t="shared" ref="AO5:AO50" si="33">IF(C5="吸收投资收到的现金",B5,"0")</f>
        <v>0</v>
      </c>
      <c r="AP5" t="str">
        <f t="shared" ref="AP5:AP50" si="34">IF(C5="取得借款收到的现金",A5,"0")</f>
        <v>0</v>
      </c>
      <c r="AQ5" t="str">
        <f t="shared" ref="AQ5:AQ50" si="35">IF(C5="取得借款收到的现金",B5,"0")</f>
        <v>0</v>
      </c>
      <c r="AR5" t="str">
        <f t="shared" ref="AR5:AR50" si="36">IF(C5="收到其他与筹资活动有关的现金",A5,"0")</f>
        <v>0</v>
      </c>
      <c r="AS5" t="str">
        <f t="shared" ref="AS5:AS50" si="37">IF(C5="收到其他与筹资活动有关的现金",B5,"0")</f>
        <v>0</v>
      </c>
      <c r="AT5" t="str">
        <f t="shared" ref="AT5:AT50" si="38">IF(C5="偿还债务支付的现金",A5,"0")</f>
        <v>0</v>
      </c>
      <c r="AU5" t="str">
        <f t="shared" ref="AU5:AU50" si="39">IF(C5="偿还债务支付的现金",B5,"0")</f>
        <v>0</v>
      </c>
      <c r="AV5" t="str">
        <f t="shared" ref="AV5:AV50" si="40">IF(C5="分配股利、利润或偿付利息支付的现金",A5,"0")</f>
        <v>0</v>
      </c>
      <c r="AW5" t="str">
        <f t="shared" ref="AW5:AW50" si="41">IF(C5="分配股利、利润或偿付利息支付的现金",B5,"0")</f>
        <v>0</v>
      </c>
      <c r="AX5" t="str">
        <f t="shared" ref="AX5:AX50" si="42">IF(C5="支付其他与筹资活动有关的现金",A5,"0")</f>
        <v>0</v>
      </c>
      <c r="AY5" t="str">
        <f t="shared" ref="AY5:AY50" si="43">IF(C5="支付其他与筹资活动有关的现金",B5,"0")</f>
        <v>0</v>
      </c>
    </row>
    <row r="6" ht="13.85" spans="1:51">
      <c r="A6" s="83"/>
      <c r="B6" s="83"/>
      <c r="C6" s="84"/>
      <c r="E6" s="70"/>
      <c r="H6" t="str">
        <f t="shared" si="0"/>
        <v>0</v>
      </c>
      <c r="I6" t="str">
        <f t="shared" si="1"/>
        <v>0</v>
      </c>
      <c r="J6" t="str">
        <f t="shared" si="2"/>
        <v>0</v>
      </c>
      <c r="K6" t="str">
        <f t="shared" si="3"/>
        <v>0</v>
      </c>
      <c r="L6" t="str">
        <f t="shared" si="4"/>
        <v>0</v>
      </c>
      <c r="M6" t="str">
        <f t="shared" si="5"/>
        <v>0</v>
      </c>
      <c r="N6" t="str">
        <f t="shared" si="6"/>
        <v>0</v>
      </c>
      <c r="O6" t="str">
        <f t="shared" si="7"/>
        <v>0</v>
      </c>
      <c r="P6" t="str">
        <f t="shared" si="8"/>
        <v>0</v>
      </c>
      <c r="Q6" t="str">
        <f t="shared" si="9"/>
        <v>0</v>
      </c>
      <c r="R6" t="str">
        <f t="shared" si="10"/>
        <v>0</v>
      </c>
      <c r="S6" t="str">
        <f t="shared" si="11"/>
        <v>0</v>
      </c>
      <c r="T6" t="str">
        <f t="shared" si="12"/>
        <v>0</v>
      </c>
      <c r="U6" t="str">
        <f t="shared" si="13"/>
        <v>0</v>
      </c>
      <c r="V6" t="str">
        <f t="shared" si="14"/>
        <v>0</v>
      </c>
      <c r="W6" t="str">
        <f t="shared" si="15"/>
        <v>0</v>
      </c>
      <c r="X6" t="str">
        <f t="shared" si="16"/>
        <v>0</v>
      </c>
      <c r="Y6" t="str">
        <f t="shared" si="17"/>
        <v>0</v>
      </c>
      <c r="Z6" t="str">
        <f t="shared" si="18"/>
        <v>0</v>
      </c>
      <c r="AA6" t="str">
        <f t="shared" si="19"/>
        <v>0</v>
      </c>
      <c r="AB6" t="str">
        <f t="shared" si="20"/>
        <v>0</v>
      </c>
      <c r="AC6" t="str">
        <f t="shared" si="21"/>
        <v>0</v>
      </c>
      <c r="AD6" t="str">
        <f t="shared" si="22"/>
        <v>0</v>
      </c>
      <c r="AE6" t="str">
        <f t="shared" si="23"/>
        <v>0</v>
      </c>
      <c r="AF6" t="str">
        <f t="shared" si="24"/>
        <v>0</v>
      </c>
      <c r="AG6" t="str">
        <f t="shared" si="25"/>
        <v>0</v>
      </c>
      <c r="AH6" t="str">
        <f t="shared" si="26"/>
        <v>0</v>
      </c>
      <c r="AI6" t="str">
        <f t="shared" si="27"/>
        <v>0</v>
      </c>
      <c r="AJ6" t="str">
        <f t="shared" si="28"/>
        <v>0</v>
      </c>
      <c r="AK6" t="str">
        <f t="shared" si="29"/>
        <v>0</v>
      </c>
      <c r="AL6" t="str">
        <f t="shared" si="30"/>
        <v>0</v>
      </c>
      <c r="AM6" t="str">
        <f t="shared" si="31"/>
        <v>0</v>
      </c>
      <c r="AN6" t="str">
        <f t="shared" si="32"/>
        <v>0</v>
      </c>
      <c r="AO6" t="str">
        <f t="shared" si="33"/>
        <v>0</v>
      </c>
      <c r="AP6" t="str">
        <f t="shared" si="34"/>
        <v>0</v>
      </c>
      <c r="AQ6" t="str">
        <f t="shared" si="35"/>
        <v>0</v>
      </c>
      <c r="AR6" t="str">
        <f t="shared" si="36"/>
        <v>0</v>
      </c>
      <c r="AS6" t="str">
        <f t="shared" si="37"/>
        <v>0</v>
      </c>
      <c r="AT6" t="str">
        <f t="shared" si="38"/>
        <v>0</v>
      </c>
      <c r="AU6" t="str">
        <f t="shared" si="39"/>
        <v>0</v>
      </c>
      <c r="AV6" t="str">
        <f t="shared" si="40"/>
        <v>0</v>
      </c>
      <c r="AW6" t="str">
        <f t="shared" si="41"/>
        <v>0</v>
      </c>
      <c r="AX6" t="str">
        <f t="shared" si="42"/>
        <v>0</v>
      </c>
      <c r="AY6" t="str">
        <f t="shared" si="43"/>
        <v>0</v>
      </c>
    </row>
    <row r="7" ht="13.85" spans="1:51">
      <c r="A7" s="83"/>
      <c r="B7" s="83"/>
      <c r="C7" s="84"/>
      <c r="E7" s="71"/>
      <c r="H7" t="str">
        <f t="shared" si="0"/>
        <v>0</v>
      </c>
      <c r="I7" t="str">
        <f t="shared" si="1"/>
        <v>0</v>
      </c>
      <c r="J7" t="str">
        <f t="shared" si="2"/>
        <v>0</v>
      </c>
      <c r="K7" t="str">
        <f t="shared" si="3"/>
        <v>0</v>
      </c>
      <c r="L7" t="str">
        <f t="shared" si="4"/>
        <v>0</v>
      </c>
      <c r="M7" t="str">
        <f t="shared" si="5"/>
        <v>0</v>
      </c>
      <c r="N7" t="str">
        <f t="shared" si="6"/>
        <v>0</v>
      </c>
      <c r="O7" t="str">
        <f t="shared" si="7"/>
        <v>0</v>
      </c>
      <c r="P7" t="str">
        <f t="shared" si="8"/>
        <v>0</v>
      </c>
      <c r="Q7" t="str">
        <f t="shared" si="9"/>
        <v>0</v>
      </c>
      <c r="R7" t="str">
        <f t="shared" si="10"/>
        <v>0</v>
      </c>
      <c r="S7" t="str">
        <f t="shared" si="11"/>
        <v>0</v>
      </c>
      <c r="T7" t="str">
        <f t="shared" si="12"/>
        <v>0</v>
      </c>
      <c r="U7" t="str">
        <f t="shared" si="13"/>
        <v>0</v>
      </c>
      <c r="V7" t="str">
        <f t="shared" si="14"/>
        <v>0</v>
      </c>
      <c r="W7" t="str">
        <f t="shared" si="15"/>
        <v>0</v>
      </c>
      <c r="X7" t="str">
        <f t="shared" si="16"/>
        <v>0</v>
      </c>
      <c r="Y7" t="str">
        <f t="shared" si="17"/>
        <v>0</v>
      </c>
      <c r="Z7" t="str">
        <f t="shared" si="18"/>
        <v>0</v>
      </c>
      <c r="AA7" t="str">
        <f t="shared" si="19"/>
        <v>0</v>
      </c>
      <c r="AB7" t="str">
        <f t="shared" si="20"/>
        <v>0</v>
      </c>
      <c r="AC7" t="str">
        <f t="shared" si="21"/>
        <v>0</v>
      </c>
      <c r="AD7" t="str">
        <f t="shared" si="22"/>
        <v>0</v>
      </c>
      <c r="AE7" t="str">
        <f t="shared" si="23"/>
        <v>0</v>
      </c>
      <c r="AF7" t="str">
        <f t="shared" si="24"/>
        <v>0</v>
      </c>
      <c r="AG7" t="str">
        <f t="shared" si="25"/>
        <v>0</v>
      </c>
      <c r="AH7" t="str">
        <f t="shared" si="26"/>
        <v>0</v>
      </c>
      <c r="AI7" t="str">
        <f t="shared" si="27"/>
        <v>0</v>
      </c>
      <c r="AJ7" t="str">
        <f t="shared" si="28"/>
        <v>0</v>
      </c>
      <c r="AK7" t="str">
        <f t="shared" si="29"/>
        <v>0</v>
      </c>
      <c r="AL7" t="str">
        <f t="shared" si="30"/>
        <v>0</v>
      </c>
      <c r="AM7" t="str">
        <f t="shared" si="31"/>
        <v>0</v>
      </c>
      <c r="AN7" t="str">
        <f t="shared" si="32"/>
        <v>0</v>
      </c>
      <c r="AO7" t="str">
        <f t="shared" si="33"/>
        <v>0</v>
      </c>
      <c r="AP7" t="str">
        <f t="shared" si="34"/>
        <v>0</v>
      </c>
      <c r="AQ7" t="str">
        <f t="shared" si="35"/>
        <v>0</v>
      </c>
      <c r="AR7" t="str">
        <f t="shared" si="36"/>
        <v>0</v>
      </c>
      <c r="AS7" t="str">
        <f t="shared" si="37"/>
        <v>0</v>
      </c>
      <c r="AT7" t="str">
        <f t="shared" si="38"/>
        <v>0</v>
      </c>
      <c r="AU7" t="str">
        <f t="shared" si="39"/>
        <v>0</v>
      </c>
      <c r="AV7" t="str">
        <f t="shared" si="40"/>
        <v>0</v>
      </c>
      <c r="AW7" t="str">
        <f t="shared" si="41"/>
        <v>0</v>
      </c>
      <c r="AX7" t="str">
        <f t="shared" si="42"/>
        <v>0</v>
      </c>
      <c r="AY7" t="str">
        <f t="shared" si="43"/>
        <v>0</v>
      </c>
    </row>
    <row r="8" ht="13.85" spans="1:51">
      <c r="A8" s="83"/>
      <c r="B8" s="83"/>
      <c r="C8" s="84"/>
      <c r="E8" s="71"/>
      <c r="H8" t="str">
        <f t="shared" si="0"/>
        <v>0</v>
      </c>
      <c r="I8" t="str">
        <f t="shared" si="1"/>
        <v>0</v>
      </c>
      <c r="J8" t="str">
        <f t="shared" si="2"/>
        <v>0</v>
      </c>
      <c r="K8" t="str">
        <f t="shared" si="3"/>
        <v>0</v>
      </c>
      <c r="L8" t="str">
        <f t="shared" si="4"/>
        <v>0</v>
      </c>
      <c r="M8" t="str">
        <f t="shared" si="5"/>
        <v>0</v>
      </c>
      <c r="N8" t="str">
        <f t="shared" si="6"/>
        <v>0</v>
      </c>
      <c r="O8" t="str">
        <f t="shared" si="7"/>
        <v>0</v>
      </c>
      <c r="P8" t="str">
        <f t="shared" si="8"/>
        <v>0</v>
      </c>
      <c r="Q8" t="str">
        <f t="shared" si="9"/>
        <v>0</v>
      </c>
      <c r="R8" t="str">
        <f t="shared" si="10"/>
        <v>0</v>
      </c>
      <c r="S8" t="str">
        <f t="shared" si="11"/>
        <v>0</v>
      </c>
      <c r="T8" t="str">
        <f t="shared" si="12"/>
        <v>0</v>
      </c>
      <c r="U8" t="str">
        <f t="shared" si="13"/>
        <v>0</v>
      </c>
      <c r="V8" t="str">
        <f t="shared" si="14"/>
        <v>0</v>
      </c>
      <c r="W8" t="str">
        <f t="shared" si="15"/>
        <v>0</v>
      </c>
      <c r="X8" t="str">
        <f t="shared" si="16"/>
        <v>0</v>
      </c>
      <c r="Y8" t="str">
        <f t="shared" si="17"/>
        <v>0</v>
      </c>
      <c r="Z8" t="str">
        <f t="shared" si="18"/>
        <v>0</v>
      </c>
      <c r="AA8" t="str">
        <f t="shared" si="19"/>
        <v>0</v>
      </c>
      <c r="AB8" t="str">
        <f t="shared" si="20"/>
        <v>0</v>
      </c>
      <c r="AC8" t="str">
        <f t="shared" si="21"/>
        <v>0</v>
      </c>
      <c r="AD8" t="str">
        <f t="shared" si="22"/>
        <v>0</v>
      </c>
      <c r="AE8" t="str">
        <f t="shared" si="23"/>
        <v>0</v>
      </c>
      <c r="AF8" t="str">
        <f t="shared" si="24"/>
        <v>0</v>
      </c>
      <c r="AG8" t="str">
        <f t="shared" si="25"/>
        <v>0</v>
      </c>
      <c r="AH8" t="str">
        <f t="shared" si="26"/>
        <v>0</v>
      </c>
      <c r="AI8" t="str">
        <f t="shared" si="27"/>
        <v>0</v>
      </c>
      <c r="AJ8" t="str">
        <f t="shared" si="28"/>
        <v>0</v>
      </c>
      <c r="AK8" t="str">
        <f t="shared" si="29"/>
        <v>0</v>
      </c>
      <c r="AL8" t="str">
        <f t="shared" si="30"/>
        <v>0</v>
      </c>
      <c r="AM8" t="str">
        <f t="shared" si="31"/>
        <v>0</v>
      </c>
      <c r="AN8" t="str">
        <f t="shared" si="32"/>
        <v>0</v>
      </c>
      <c r="AO8" t="str">
        <f t="shared" si="33"/>
        <v>0</v>
      </c>
      <c r="AP8" t="str">
        <f t="shared" si="34"/>
        <v>0</v>
      </c>
      <c r="AQ8" t="str">
        <f t="shared" si="35"/>
        <v>0</v>
      </c>
      <c r="AR8" t="str">
        <f t="shared" si="36"/>
        <v>0</v>
      </c>
      <c r="AS8" t="str">
        <f t="shared" si="37"/>
        <v>0</v>
      </c>
      <c r="AT8" t="str">
        <f t="shared" si="38"/>
        <v>0</v>
      </c>
      <c r="AU8" t="str">
        <f t="shared" si="39"/>
        <v>0</v>
      </c>
      <c r="AV8" t="str">
        <f t="shared" si="40"/>
        <v>0</v>
      </c>
      <c r="AW8" t="str">
        <f t="shared" si="41"/>
        <v>0</v>
      </c>
      <c r="AX8" t="str">
        <f t="shared" si="42"/>
        <v>0</v>
      </c>
      <c r="AY8" t="str">
        <f t="shared" si="43"/>
        <v>0</v>
      </c>
    </row>
    <row r="9" ht="13.85" spans="1:51">
      <c r="A9" s="83"/>
      <c r="B9" s="83"/>
      <c r="C9" s="84"/>
      <c r="E9" s="71"/>
      <c r="H9" t="str">
        <f t="shared" si="0"/>
        <v>0</v>
      </c>
      <c r="I9" t="str">
        <f t="shared" si="1"/>
        <v>0</v>
      </c>
      <c r="J9" t="str">
        <f t="shared" si="2"/>
        <v>0</v>
      </c>
      <c r="K9" t="str">
        <f t="shared" si="3"/>
        <v>0</v>
      </c>
      <c r="L9" t="str">
        <f t="shared" si="4"/>
        <v>0</v>
      </c>
      <c r="M9" t="str">
        <f t="shared" si="5"/>
        <v>0</v>
      </c>
      <c r="N9" t="str">
        <f t="shared" si="6"/>
        <v>0</v>
      </c>
      <c r="O9" t="str">
        <f t="shared" si="7"/>
        <v>0</v>
      </c>
      <c r="P9" t="str">
        <f t="shared" si="8"/>
        <v>0</v>
      </c>
      <c r="Q9" t="str">
        <f t="shared" si="9"/>
        <v>0</v>
      </c>
      <c r="R9" t="str">
        <f t="shared" si="10"/>
        <v>0</v>
      </c>
      <c r="S9" t="str">
        <f t="shared" si="11"/>
        <v>0</v>
      </c>
      <c r="T9" t="str">
        <f t="shared" si="12"/>
        <v>0</v>
      </c>
      <c r="U9" t="str">
        <f t="shared" si="13"/>
        <v>0</v>
      </c>
      <c r="V9" t="str">
        <f t="shared" si="14"/>
        <v>0</v>
      </c>
      <c r="W9" t="str">
        <f t="shared" si="15"/>
        <v>0</v>
      </c>
      <c r="X9" t="str">
        <f t="shared" si="16"/>
        <v>0</v>
      </c>
      <c r="Y9" t="str">
        <f t="shared" si="17"/>
        <v>0</v>
      </c>
      <c r="Z9" t="str">
        <f t="shared" si="18"/>
        <v>0</v>
      </c>
      <c r="AA9" t="str">
        <f t="shared" si="19"/>
        <v>0</v>
      </c>
      <c r="AB9" t="str">
        <f t="shared" si="20"/>
        <v>0</v>
      </c>
      <c r="AC9" t="str">
        <f t="shared" si="21"/>
        <v>0</v>
      </c>
      <c r="AD9" t="str">
        <f t="shared" si="22"/>
        <v>0</v>
      </c>
      <c r="AE9" t="str">
        <f t="shared" si="23"/>
        <v>0</v>
      </c>
      <c r="AF9" t="str">
        <f t="shared" si="24"/>
        <v>0</v>
      </c>
      <c r="AG9" t="str">
        <f t="shared" si="25"/>
        <v>0</v>
      </c>
      <c r="AH9" t="str">
        <f t="shared" si="26"/>
        <v>0</v>
      </c>
      <c r="AI9" t="str">
        <f t="shared" si="27"/>
        <v>0</v>
      </c>
      <c r="AJ9" t="str">
        <f t="shared" si="28"/>
        <v>0</v>
      </c>
      <c r="AK9" t="str">
        <f t="shared" si="29"/>
        <v>0</v>
      </c>
      <c r="AL9" t="str">
        <f t="shared" si="30"/>
        <v>0</v>
      </c>
      <c r="AM9" t="str">
        <f t="shared" si="31"/>
        <v>0</v>
      </c>
      <c r="AN9" t="str">
        <f t="shared" si="32"/>
        <v>0</v>
      </c>
      <c r="AO9" t="str">
        <f t="shared" si="33"/>
        <v>0</v>
      </c>
      <c r="AP9" t="str">
        <f t="shared" si="34"/>
        <v>0</v>
      </c>
      <c r="AQ9" t="str">
        <f t="shared" si="35"/>
        <v>0</v>
      </c>
      <c r="AR9" t="str">
        <f t="shared" si="36"/>
        <v>0</v>
      </c>
      <c r="AS9" t="str">
        <f t="shared" si="37"/>
        <v>0</v>
      </c>
      <c r="AT9" t="str">
        <f t="shared" si="38"/>
        <v>0</v>
      </c>
      <c r="AU9" t="str">
        <f t="shared" si="39"/>
        <v>0</v>
      </c>
      <c r="AV9" t="str">
        <f t="shared" si="40"/>
        <v>0</v>
      </c>
      <c r="AW9" t="str">
        <f t="shared" si="41"/>
        <v>0</v>
      </c>
      <c r="AX9" t="str">
        <f t="shared" si="42"/>
        <v>0</v>
      </c>
      <c r="AY9" t="str">
        <f t="shared" si="43"/>
        <v>0</v>
      </c>
    </row>
    <row r="10" ht="13.85" spans="1:51">
      <c r="A10" s="83"/>
      <c r="B10" s="83"/>
      <c r="C10" s="84"/>
      <c r="E10" s="71"/>
      <c r="H10" t="str">
        <f t="shared" si="0"/>
        <v>0</v>
      </c>
      <c r="I10" t="str">
        <f t="shared" si="1"/>
        <v>0</v>
      </c>
      <c r="J10" t="str">
        <f t="shared" si="2"/>
        <v>0</v>
      </c>
      <c r="K10" t="str">
        <f t="shared" si="3"/>
        <v>0</v>
      </c>
      <c r="L10" t="str">
        <f t="shared" si="4"/>
        <v>0</v>
      </c>
      <c r="M10" t="str">
        <f t="shared" si="5"/>
        <v>0</v>
      </c>
      <c r="N10" t="str">
        <f t="shared" si="6"/>
        <v>0</v>
      </c>
      <c r="O10" t="str">
        <f t="shared" si="7"/>
        <v>0</v>
      </c>
      <c r="P10" t="str">
        <f t="shared" si="8"/>
        <v>0</v>
      </c>
      <c r="Q10" t="str">
        <f t="shared" si="9"/>
        <v>0</v>
      </c>
      <c r="R10" t="str">
        <f t="shared" si="10"/>
        <v>0</v>
      </c>
      <c r="S10" t="str">
        <f t="shared" si="11"/>
        <v>0</v>
      </c>
      <c r="T10" t="str">
        <f t="shared" si="12"/>
        <v>0</v>
      </c>
      <c r="U10" t="str">
        <f t="shared" si="13"/>
        <v>0</v>
      </c>
      <c r="V10" t="str">
        <f t="shared" si="14"/>
        <v>0</v>
      </c>
      <c r="W10" t="str">
        <f t="shared" si="15"/>
        <v>0</v>
      </c>
      <c r="X10" t="str">
        <f t="shared" si="16"/>
        <v>0</v>
      </c>
      <c r="Y10" t="str">
        <f t="shared" si="17"/>
        <v>0</v>
      </c>
      <c r="Z10" t="str">
        <f t="shared" si="18"/>
        <v>0</v>
      </c>
      <c r="AA10" t="str">
        <f t="shared" si="19"/>
        <v>0</v>
      </c>
      <c r="AB10" t="str">
        <f t="shared" si="20"/>
        <v>0</v>
      </c>
      <c r="AC10" t="str">
        <f t="shared" si="21"/>
        <v>0</v>
      </c>
      <c r="AD10" t="str">
        <f t="shared" si="22"/>
        <v>0</v>
      </c>
      <c r="AE10" t="str">
        <f t="shared" si="23"/>
        <v>0</v>
      </c>
      <c r="AF10" t="str">
        <f t="shared" si="24"/>
        <v>0</v>
      </c>
      <c r="AG10" t="str">
        <f t="shared" si="25"/>
        <v>0</v>
      </c>
      <c r="AH10" t="str">
        <f t="shared" si="26"/>
        <v>0</v>
      </c>
      <c r="AI10" t="str">
        <f t="shared" si="27"/>
        <v>0</v>
      </c>
      <c r="AJ10" t="str">
        <f t="shared" si="28"/>
        <v>0</v>
      </c>
      <c r="AK10" t="str">
        <f t="shared" si="29"/>
        <v>0</v>
      </c>
      <c r="AL10" t="str">
        <f t="shared" si="30"/>
        <v>0</v>
      </c>
      <c r="AM10" t="str">
        <f t="shared" si="31"/>
        <v>0</v>
      </c>
      <c r="AN10" t="str">
        <f t="shared" si="32"/>
        <v>0</v>
      </c>
      <c r="AO10" t="str">
        <f t="shared" si="33"/>
        <v>0</v>
      </c>
      <c r="AP10" t="str">
        <f t="shared" si="34"/>
        <v>0</v>
      </c>
      <c r="AQ10" t="str">
        <f t="shared" si="35"/>
        <v>0</v>
      </c>
      <c r="AR10" t="str">
        <f t="shared" si="36"/>
        <v>0</v>
      </c>
      <c r="AS10" t="str">
        <f t="shared" si="37"/>
        <v>0</v>
      </c>
      <c r="AT10" t="str">
        <f t="shared" si="38"/>
        <v>0</v>
      </c>
      <c r="AU10" t="str">
        <f t="shared" si="39"/>
        <v>0</v>
      </c>
      <c r="AV10" t="str">
        <f t="shared" si="40"/>
        <v>0</v>
      </c>
      <c r="AW10" t="str">
        <f t="shared" si="41"/>
        <v>0</v>
      </c>
      <c r="AX10" t="str">
        <f t="shared" si="42"/>
        <v>0</v>
      </c>
      <c r="AY10" t="str">
        <f t="shared" si="43"/>
        <v>0</v>
      </c>
    </row>
    <row r="11" ht="13.85" spans="1:51">
      <c r="A11" s="83"/>
      <c r="B11" s="83"/>
      <c r="C11" s="84"/>
      <c r="E11" s="73"/>
      <c r="H11" t="str">
        <f t="shared" si="0"/>
        <v>0</v>
      </c>
      <c r="I11" t="str">
        <f t="shared" si="1"/>
        <v>0</v>
      </c>
      <c r="J11" t="str">
        <f t="shared" si="2"/>
        <v>0</v>
      </c>
      <c r="K11" t="str">
        <f t="shared" si="3"/>
        <v>0</v>
      </c>
      <c r="L11" t="str">
        <f t="shared" si="4"/>
        <v>0</v>
      </c>
      <c r="M11" t="str">
        <f t="shared" si="5"/>
        <v>0</v>
      </c>
      <c r="N11" t="str">
        <f t="shared" si="6"/>
        <v>0</v>
      </c>
      <c r="O11" t="str">
        <f t="shared" si="7"/>
        <v>0</v>
      </c>
      <c r="P11" t="str">
        <f t="shared" si="8"/>
        <v>0</v>
      </c>
      <c r="Q11" t="str">
        <f t="shared" si="9"/>
        <v>0</v>
      </c>
      <c r="R11" t="str">
        <f t="shared" si="10"/>
        <v>0</v>
      </c>
      <c r="S11" t="str">
        <f t="shared" si="11"/>
        <v>0</v>
      </c>
      <c r="T11" t="str">
        <f t="shared" si="12"/>
        <v>0</v>
      </c>
      <c r="U11" t="str">
        <f t="shared" si="13"/>
        <v>0</v>
      </c>
      <c r="V11" t="str">
        <f t="shared" si="14"/>
        <v>0</v>
      </c>
      <c r="W11" t="str">
        <f t="shared" si="15"/>
        <v>0</v>
      </c>
      <c r="X11" t="str">
        <f t="shared" si="16"/>
        <v>0</v>
      </c>
      <c r="Y11" t="str">
        <f t="shared" si="17"/>
        <v>0</v>
      </c>
      <c r="Z11" t="str">
        <f t="shared" si="18"/>
        <v>0</v>
      </c>
      <c r="AA11" t="str">
        <f t="shared" si="19"/>
        <v>0</v>
      </c>
      <c r="AB11" t="str">
        <f t="shared" si="20"/>
        <v>0</v>
      </c>
      <c r="AC11" t="str">
        <f t="shared" si="21"/>
        <v>0</v>
      </c>
      <c r="AD11" t="str">
        <f t="shared" si="22"/>
        <v>0</v>
      </c>
      <c r="AE11" t="str">
        <f t="shared" si="23"/>
        <v>0</v>
      </c>
      <c r="AF11" t="str">
        <f t="shared" si="24"/>
        <v>0</v>
      </c>
      <c r="AG11" t="str">
        <f t="shared" si="25"/>
        <v>0</v>
      </c>
      <c r="AH11" t="str">
        <f t="shared" si="26"/>
        <v>0</v>
      </c>
      <c r="AI11" t="str">
        <f t="shared" si="27"/>
        <v>0</v>
      </c>
      <c r="AJ11" t="str">
        <f t="shared" si="28"/>
        <v>0</v>
      </c>
      <c r="AK11" t="str">
        <f t="shared" si="29"/>
        <v>0</v>
      </c>
      <c r="AL11" t="str">
        <f t="shared" si="30"/>
        <v>0</v>
      </c>
      <c r="AM11" t="str">
        <f t="shared" si="31"/>
        <v>0</v>
      </c>
      <c r="AN11" t="str">
        <f t="shared" si="32"/>
        <v>0</v>
      </c>
      <c r="AO11" t="str">
        <f t="shared" si="33"/>
        <v>0</v>
      </c>
      <c r="AP11" t="str">
        <f t="shared" si="34"/>
        <v>0</v>
      </c>
      <c r="AQ11" t="str">
        <f t="shared" si="35"/>
        <v>0</v>
      </c>
      <c r="AR11" t="str">
        <f t="shared" si="36"/>
        <v>0</v>
      </c>
      <c r="AS11" t="str">
        <f t="shared" si="37"/>
        <v>0</v>
      </c>
      <c r="AT11" t="str">
        <f t="shared" si="38"/>
        <v>0</v>
      </c>
      <c r="AU11" t="str">
        <f t="shared" si="39"/>
        <v>0</v>
      </c>
      <c r="AV11" t="str">
        <f t="shared" si="40"/>
        <v>0</v>
      </c>
      <c r="AW11" t="str">
        <f t="shared" si="41"/>
        <v>0</v>
      </c>
      <c r="AX11" t="str">
        <f t="shared" si="42"/>
        <v>0</v>
      </c>
      <c r="AY11" t="str">
        <f t="shared" si="43"/>
        <v>0</v>
      </c>
    </row>
    <row r="12" ht="13.85" spans="1:51">
      <c r="A12" s="83"/>
      <c r="B12" s="83"/>
      <c r="C12" s="84"/>
      <c r="E12" s="73"/>
      <c r="H12" t="str">
        <f t="shared" si="0"/>
        <v>0</v>
      </c>
      <c r="I12" t="str">
        <f t="shared" si="1"/>
        <v>0</v>
      </c>
      <c r="J12" t="str">
        <f t="shared" si="2"/>
        <v>0</v>
      </c>
      <c r="K12" t="str">
        <f t="shared" si="3"/>
        <v>0</v>
      </c>
      <c r="L12" t="str">
        <f t="shared" si="4"/>
        <v>0</v>
      </c>
      <c r="M12" t="str">
        <f t="shared" si="5"/>
        <v>0</v>
      </c>
      <c r="N12" t="str">
        <f t="shared" si="6"/>
        <v>0</v>
      </c>
      <c r="O12" t="str">
        <f t="shared" si="7"/>
        <v>0</v>
      </c>
      <c r="P12" t="str">
        <f t="shared" si="8"/>
        <v>0</v>
      </c>
      <c r="Q12" t="str">
        <f t="shared" si="9"/>
        <v>0</v>
      </c>
      <c r="R12" t="str">
        <f t="shared" si="10"/>
        <v>0</v>
      </c>
      <c r="S12" t="str">
        <f t="shared" si="11"/>
        <v>0</v>
      </c>
      <c r="T12" t="str">
        <f t="shared" si="12"/>
        <v>0</v>
      </c>
      <c r="U12" t="str">
        <f t="shared" si="13"/>
        <v>0</v>
      </c>
      <c r="V12" t="str">
        <f t="shared" si="14"/>
        <v>0</v>
      </c>
      <c r="W12" t="str">
        <f t="shared" si="15"/>
        <v>0</v>
      </c>
      <c r="X12" t="str">
        <f t="shared" si="16"/>
        <v>0</v>
      </c>
      <c r="Y12" t="str">
        <f t="shared" si="17"/>
        <v>0</v>
      </c>
      <c r="Z12" t="str">
        <f t="shared" si="18"/>
        <v>0</v>
      </c>
      <c r="AA12" t="str">
        <f t="shared" si="19"/>
        <v>0</v>
      </c>
      <c r="AB12" t="str">
        <f t="shared" si="20"/>
        <v>0</v>
      </c>
      <c r="AC12" t="str">
        <f t="shared" si="21"/>
        <v>0</v>
      </c>
      <c r="AD12" t="str">
        <f t="shared" si="22"/>
        <v>0</v>
      </c>
      <c r="AE12" t="str">
        <f t="shared" si="23"/>
        <v>0</v>
      </c>
      <c r="AF12" t="str">
        <f t="shared" si="24"/>
        <v>0</v>
      </c>
      <c r="AG12" t="str">
        <f t="shared" si="25"/>
        <v>0</v>
      </c>
      <c r="AH12" t="str">
        <f t="shared" si="26"/>
        <v>0</v>
      </c>
      <c r="AI12" t="str">
        <f t="shared" si="27"/>
        <v>0</v>
      </c>
      <c r="AJ12" t="str">
        <f t="shared" si="28"/>
        <v>0</v>
      </c>
      <c r="AK12" t="str">
        <f t="shared" si="29"/>
        <v>0</v>
      </c>
      <c r="AL12" t="str">
        <f t="shared" si="30"/>
        <v>0</v>
      </c>
      <c r="AM12" t="str">
        <f t="shared" si="31"/>
        <v>0</v>
      </c>
      <c r="AN12" t="str">
        <f t="shared" si="32"/>
        <v>0</v>
      </c>
      <c r="AO12" t="str">
        <f t="shared" si="33"/>
        <v>0</v>
      </c>
      <c r="AP12" t="str">
        <f t="shared" si="34"/>
        <v>0</v>
      </c>
      <c r="AQ12" t="str">
        <f t="shared" si="35"/>
        <v>0</v>
      </c>
      <c r="AR12" t="str">
        <f t="shared" si="36"/>
        <v>0</v>
      </c>
      <c r="AS12" t="str">
        <f t="shared" si="37"/>
        <v>0</v>
      </c>
      <c r="AT12" t="str">
        <f t="shared" si="38"/>
        <v>0</v>
      </c>
      <c r="AU12" t="str">
        <f t="shared" si="39"/>
        <v>0</v>
      </c>
      <c r="AV12" t="str">
        <f t="shared" si="40"/>
        <v>0</v>
      </c>
      <c r="AW12" t="str">
        <f t="shared" si="41"/>
        <v>0</v>
      </c>
      <c r="AX12" t="str">
        <f t="shared" si="42"/>
        <v>0</v>
      </c>
      <c r="AY12" t="str">
        <f t="shared" si="43"/>
        <v>0</v>
      </c>
    </row>
    <row r="13" ht="13.85" spans="1:51">
      <c r="A13" s="83"/>
      <c r="B13" s="83"/>
      <c r="C13" s="84"/>
      <c r="E13" s="73"/>
      <c r="H13" t="str">
        <f t="shared" si="0"/>
        <v>0</v>
      </c>
      <c r="I13" t="str">
        <f t="shared" si="1"/>
        <v>0</v>
      </c>
      <c r="J13" t="str">
        <f t="shared" si="2"/>
        <v>0</v>
      </c>
      <c r="K13" t="str">
        <f t="shared" si="3"/>
        <v>0</v>
      </c>
      <c r="L13" t="str">
        <f t="shared" si="4"/>
        <v>0</v>
      </c>
      <c r="M13" t="str">
        <f t="shared" si="5"/>
        <v>0</v>
      </c>
      <c r="N13" t="str">
        <f t="shared" si="6"/>
        <v>0</v>
      </c>
      <c r="O13" t="str">
        <f t="shared" si="7"/>
        <v>0</v>
      </c>
      <c r="P13" t="str">
        <f t="shared" si="8"/>
        <v>0</v>
      </c>
      <c r="Q13" t="str">
        <f t="shared" si="9"/>
        <v>0</v>
      </c>
      <c r="R13" t="str">
        <f t="shared" si="10"/>
        <v>0</v>
      </c>
      <c r="S13" t="str">
        <f t="shared" si="11"/>
        <v>0</v>
      </c>
      <c r="T13" t="str">
        <f t="shared" si="12"/>
        <v>0</v>
      </c>
      <c r="U13" t="str">
        <f t="shared" si="13"/>
        <v>0</v>
      </c>
      <c r="V13" t="str">
        <f t="shared" si="14"/>
        <v>0</v>
      </c>
      <c r="W13" t="str">
        <f t="shared" si="15"/>
        <v>0</v>
      </c>
      <c r="X13" t="str">
        <f t="shared" si="16"/>
        <v>0</v>
      </c>
      <c r="Y13" t="str">
        <f t="shared" si="17"/>
        <v>0</v>
      </c>
      <c r="Z13" t="str">
        <f t="shared" si="18"/>
        <v>0</v>
      </c>
      <c r="AA13" t="str">
        <f t="shared" si="19"/>
        <v>0</v>
      </c>
      <c r="AB13" t="str">
        <f t="shared" si="20"/>
        <v>0</v>
      </c>
      <c r="AC13" t="str">
        <f t="shared" si="21"/>
        <v>0</v>
      </c>
      <c r="AD13" t="str">
        <f t="shared" si="22"/>
        <v>0</v>
      </c>
      <c r="AE13" t="str">
        <f t="shared" si="23"/>
        <v>0</v>
      </c>
      <c r="AF13" t="str">
        <f t="shared" si="24"/>
        <v>0</v>
      </c>
      <c r="AG13" t="str">
        <f t="shared" si="25"/>
        <v>0</v>
      </c>
      <c r="AH13" t="str">
        <f t="shared" si="26"/>
        <v>0</v>
      </c>
      <c r="AI13" t="str">
        <f t="shared" si="27"/>
        <v>0</v>
      </c>
      <c r="AJ13" t="str">
        <f t="shared" si="28"/>
        <v>0</v>
      </c>
      <c r="AK13" t="str">
        <f t="shared" si="29"/>
        <v>0</v>
      </c>
      <c r="AL13" t="str">
        <f t="shared" si="30"/>
        <v>0</v>
      </c>
      <c r="AM13" t="str">
        <f t="shared" si="31"/>
        <v>0</v>
      </c>
      <c r="AN13" t="str">
        <f t="shared" si="32"/>
        <v>0</v>
      </c>
      <c r="AO13" t="str">
        <f t="shared" si="33"/>
        <v>0</v>
      </c>
      <c r="AP13" t="str">
        <f t="shared" si="34"/>
        <v>0</v>
      </c>
      <c r="AQ13" t="str">
        <f t="shared" si="35"/>
        <v>0</v>
      </c>
      <c r="AR13" t="str">
        <f t="shared" si="36"/>
        <v>0</v>
      </c>
      <c r="AS13" t="str">
        <f t="shared" si="37"/>
        <v>0</v>
      </c>
      <c r="AT13" t="str">
        <f t="shared" si="38"/>
        <v>0</v>
      </c>
      <c r="AU13" t="str">
        <f t="shared" si="39"/>
        <v>0</v>
      </c>
      <c r="AV13" t="str">
        <f t="shared" si="40"/>
        <v>0</v>
      </c>
      <c r="AW13" t="str">
        <f t="shared" si="41"/>
        <v>0</v>
      </c>
      <c r="AX13" t="str">
        <f t="shared" si="42"/>
        <v>0</v>
      </c>
      <c r="AY13" t="str">
        <f t="shared" si="43"/>
        <v>0</v>
      </c>
    </row>
    <row r="14" ht="13.85" spans="1:51">
      <c r="A14" s="83"/>
      <c r="B14" s="83"/>
      <c r="C14" s="84"/>
      <c r="E14" s="73"/>
      <c r="H14" t="str">
        <f t="shared" si="0"/>
        <v>0</v>
      </c>
      <c r="I14" t="str">
        <f t="shared" si="1"/>
        <v>0</v>
      </c>
      <c r="J14" s="85" t="str">
        <f t="shared" si="2"/>
        <v>0</v>
      </c>
      <c r="K14" t="str">
        <f t="shared" si="3"/>
        <v>0</v>
      </c>
      <c r="L14" t="str">
        <f t="shared" si="4"/>
        <v>0</v>
      </c>
      <c r="M14" t="str">
        <f t="shared" si="5"/>
        <v>0</v>
      </c>
      <c r="N14" t="str">
        <f t="shared" si="6"/>
        <v>0</v>
      </c>
      <c r="O14" t="str">
        <f t="shared" si="7"/>
        <v>0</v>
      </c>
      <c r="P14" t="str">
        <f t="shared" si="8"/>
        <v>0</v>
      </c>
      <c r="Q14" t="str">
        <f t="shared" si="9"/>
        <v>0</v>
      </c>
      <c r="R14" t="str">
        <f t="shared" si="10"/>
        <v>0</v>
      </c>
      <c r="S14" t="str">
        <f t="shared" si="11"/>
        <v>0</v>
      </c>
      <c r="T14" t="str">
        <f t="shared" si="12"/>
        <v>0</v>
      </c>
      <c r="U14" t="str">
        <f t="shared" si="13"/>
        <v>0</v>
      </c>
      <c r="V14" t="str">
        <f t="shared" si="14"/>
        <v>0</v>
      </c>
      <c r="W14" t="str">
        <f t="shared" si="15"/>
        <v>0</v>
      </c>
      <c r="X14" t="str">
        <f t="shared" si="16"/>
        <v>0</v>
      </c>
      <c r="Y14" t="str">
        <f t="shared" si="17"/>
        <v>0</v>
      </c>
      <c r="Z14" t="str">
        <f t="shared" si="18"/>
        <v>0</v>
      </c>
      <c r="AA14" t="str">
        <f t="shared" si="19"/>
        <v>0</v>
      </c>
      <c r="AB14" t="str">
        <f t="shared" si="20"/>
        <v>0</v>
      </c>
      <c r="AC14" t="str">
        <f t="shared" si="21"/>
        <v>0</v>
      </c>
      <c r="AD14" t="str">
        <f t="shared" si="22"/>
        <v>0</v>
      </c>
      <c r="AE14" t="str">
        <f t="shared" si="23"/>
        <v>0</v>
      </c>
      <c r="AF14" t="str">
        <f t="shared" si="24"/>
        <v>0</v>
      </c>
      <c r="AG14" t="str">
        <f t="shared" si="25"/>
        <v>0</v>
      </c>
      <c r="AH14" t="str">
        <f t="shared" si="26"/>
        <v>0</v>
      </c>
      <c r="AI14" t="str">
        <f t="shared" si="27"/>
        <v>0</v>
      </c>
      <c r="AJ14" t="str">
        <f t="shared" si="28"/>
        <v>0</v>
      </c>
      <c r="AK14" t="str">
        <f t="shared" si="29"/>
        <v>0</v>
      </c>
      <c r="AL14" t="str">
        <f t="shared" si="30"/>
        <v>0</v>
      </c>
      <c r="AM14" t="str">
        <f t="shared" si="31"/>
        <v>0</v>
      </c>
      <c r="AN14" t="str">
        <f t="shared" si="32"/>
        <v>0</v>
      </c>
      <c r="AO14" t="str">
        <f t="shared" si="33"/>
        <v>0</v>
      </c>
      <c r="AP14" t="str">
        <f t="shared" si="34"/>
        <v>0</v>
      </c>
      <c r="AQ14" t="str">
        <f t="shared" si="35"/>
        <v>0</v>
      </c>
      <c r="AR14" t="str">
        <f t="shared" si="36"/>
        <v>0</v>
      </c>
      <c r="AS14" t="str">
        <f t="shared" si="37"/>
        <v>0</v>
      </c>
      <c r="AT14" t="str">
        <f t="shared" si="38"/>
        <v>0</v>
      </c>
      <c r="AU14" t="str">
        <f t="shared" si="39"/>
        <v>0</v>
      </c>
      <c r="AV14" t="str">
        <f t="shared" si="40"/>
        <v>0</v>
      </c>
      <c r="AW14" t="str">
        <f t="shared" si="41"/>
        <v>0</v>
      </c>
      <c r="AX14" t="str">
        <f t="shared" si="42"/>
        <v>0</v>
      </c>
      <c r="AY14" t="str">
        <f t="shared" si="43"/>
        <v>0</v>
      </c>
    </row>
    <row r="15" ht="13.85" spans="1:51">
      <c r="A15" s="83"/>
      <c r="B15" s="83"/>
      <c r="C15" s="84"/>
      <c r="E15" s="75"/>
      <c r="H15" t="str">
        <f t="shared" si="0"/>
        <v>0</v>
      </c>
      <c r="I15" t="str">
        <f t="shared" si="1"/>
        <v>0</v>
      </c>
      <c r="J15" t="str">
        <f t="shared" si="2"/>
        <v>0</v>
      </c>
      <c r="K15" t="str">
        <f t="shared" si="3"/>
        <v>0</v>
      </c>
      <c r="L15" t="str">
        <f t="shared" si="4"/>
        <v>0</v>
      </c>
      <c r="M15" t="str">
        <f t="shared" si="5"/>
        <v>0</v>
      </c>
      <c r="N15" t="str">
        <f t="shared" si="6"/>
        <v>0</v>
      </c>
      <c r="O15" t="str">
        <f t="shared" si="7"/>
        <v>0</v>
      </c>
      <c r="P15" t="str">
        <f t="shared" si="8"/>
        <v>0</v>
      </c>
      <c r="Q15" t="str">
        <f t="shared" si="9"/>
        <v>0</v>
      </c>
      <c r="R15" t="str">
        <f t="shared" si="10"/>
        <v>0</v>
      </c>
      <c r="S15" t="str">
        <f t="shared" si="11"/>
        <v>0</v>
      </c>
      <c r="T15" t="str">
        <f t="shared" si="12"/>
        <v>0</v>
      </c>
      <c r="U15" t="str">
        <f t="shared" si="13"/>
        <v>0</v>
      </c>
      <c r="V15" t="str">
        <f t="shared" si="14"/>
        <v>0</v>
      </c>
      <c r="W15" t="str">
        <f t="shared" si="15"/>
        <v>0</v>
      </c>
      <c r="X15" t="str">
        <f t="shared" si="16"/>
        <v>0</v>
      </c>
      <c r="Y15" t="str">
        <f t="shared" si="17"/>
        <v>0</v>
      </c>
      <c r="Z15" t="str">
        <f t="shared" si="18"/>
        <v>0</v>
      </c>
      <c r="AA15" t="str">
        <f t="shared" si="19"/>
        <v>0</v>
      </c>
      <c r="AB15" t="str">
        <f t="shared" si="20"/>
        <v>0</v>
      </c>
      <c r="AC15" t="str">
        <f t="shared" si="21"/>
        <v>0</v>
      </c>
      <c r="AD15" t="str">
        <f t="shared" si="22"/>
        <v>0</v>
      </c>
      <c r="AE15" t="str">
        <f t="shared" si="23"/>
        <v>0</v>
      </c>
      <c r="AF15" t="str">
        <f t="shared" si="24"/>
        <v>0</v>
      </c>
      <c r="AG15" t="str">
        <f t="shared" si="25"/>
        <v>0</v>
      </c>
      <c r="AH15" t="str">
        <f t="shared" si="26"/>
        <v>0</v>
      </c>
      <c r="AI15" t="str">
        <f t="shared" si="27"/>
        <v>0</v>
      </c>
      <c r="AJ15" t="str">
        <f t="shared" si="28"/>
        <v>0</v>
      </c>
      <c r="AK15" t="str">
        <f t="shared" si="29"/>
        <v>0</v>
      </c>
      <c r="AL15" t="str">
        <f t="shared" si="30"/>
        <v>0</v>
      </c>
      <c r="AM15" t="str">
        <f t="shared" si="31"/>
        <v>0</v>
      </c>
      <c r="AN15" t="str">
        <f t="shared" si="32"/>
        <v>0</v>
      </c>
      <c r="AO15" t="str">
        <f t="shared" si="33"/>
        <v>0</v>
      </c>
      <c r="AP15" t="str">
        <f t="shared" si="34"/>
        <v>0</v>
      </c>
      <c r="AQ15" t="str">
        <f t="shared" si="35"/>
        <v>0</v>
      </c>
      <c r="AR15" t="str">
        <f t="shared" si="36"/>
        <v>0</v>
      </c>
      <c r="AS15" t="str">
        <f t="shared" si="37"/>
        <v>0</v>
      </c>
      <c r="AT15" t="str">
        <f t="shared" si="38"/>
        <v>0</v>
      </c>
      <c r="AU15" t="str">
        <f t="shared" si="39"/>
        <v>0</v>
      </c>
      <c r="AV15" t="str">
        <f t="shared" si="40"/>
        <v>0</v>
      </c>
      <c r="AW15" t="str">
        <f t="shared" si="41"/>
        <v>0</v>
      </c>
      <c r="AX15" t="str">
        <f t="shared" si="42"/>
        <v>0</v>
      </c>
      <c r="AY15" t="str">
        <f t="shared" si="43"/>
        <v>0</v>
      </c>
    </row>
    <row r="16" ht="13.85" spans="1:51">
      <c r="A16" s="83"/>
      <c r="B16" s="83"/>
      <c r="C16" s="84"/>
      <c r="E16" s="75"/>
      <c r="H16" t="str">
        <f t="shared" si="0"/>
        <v>0</v>
      </c>
      <c r="I16" t="str">
        <f t="shared" si="1"/>
        <v>0</v>
      </c>
      <c r="J16" t="str">
        <f t="shared" si="2"/>
        <v>0</v>
      </c>
      <c r="K16" t="str">
        <f t="shared" si="3"/>
        <v>0</v>
      </c>
      <c r="L16" t="str">
        <f t="shared" si="4"/>
        <v>0</v>
      </c>
      <c r="M16" t="str">
        <f t="shared" si="5"/>
        <v>0</v>
      </c>
      <c r="N16" t="str">
        <f t="shared" si="6"/>
        <v>0</v>
      </c>
      <c r="O16" t="str">
        <f t="shared" si="7"/>
        <v>0</v>
      </c>
      <c r="P16" t="str">
        <f t="shared" si="8"/>
        <v>0</v>
      </c>
      <c r="Q16" t="str">
        <f t="shared" si="9"/>
        <v>0</v>
      </c>
      <c r="R16" t="str">
        <f t="shared" si="10"/>
        <v>0</v>
      </c>
      <c r="S16" t="str">
        <f t="shared" si="11"/>
        <v>0</v>
      </c>
      <c r="T16" t="str">
        <f t="shared" si="12"/>
        <v>0</v>
      </c>
      <c r="U16" t="str">
        <f t="shared" si="13"/>
        <v>0</v>
      </c>
      <c r="V16" t="str">
        <f t="shared" si="14"/>
        <v>0</v>
      </c>
      <c r="W16" t="str">
        <f t="shared" si="15"/>
        <v>0</v>
      </c>
      <c r="X16" t="str">
        <f t="shared" si="16"/>
        <v>0</v>
      </c>
      <c r="Y16" t="str">
        <f t="shared" si="17"/>
        <v>0</v>
      </c>
      <c r="Z16" t="str">
        <f t="shared" si="18"/>
        <v>0</v>
      </c>
      <c r="AA16" t="str">
        <f t="shared" si="19"/>
        <v>0</v>
      </c>
      <c r="AB16" t="str">
        <f t="shared" si="20"/>
        <v>0</v>
      </c>
      <c r="AC16" t="str">
        <f t="shared" si="21"/>
        <v>0</v>
      </c>
      <c r="AD16" t="str">
        <f t="shared" si="22"/>
        <v>0</v>
      </c>
      <c r="AE16" t="str">
        <f t="shared" si="23"/>
        <v>0</v>
      </c>
      <c r="AF16" t="str">
        <f t="shared" si="24"/>
        <v>0</v>
      </c>
      <c r="AG16" t="str">
        <f t="shared" si="25"/>
        <v>0</v>
      </c>
      <c r="AH16" t="str">
        <f t="shared" si="26"/>
        <v>0</v>
      </c>
      <c r="AI16" t="str">
        <f t="shared" si="27"/>
        <v>0</v>
      </c>
      <c r="AJ16" t="str">
        <f t="shared" si="28"/>
        <v>0</v>
      </c>
      <c r="AK16" t="str">
        <f t="shared" si="29"/>
        <v>0</v>
      </c>
      <c r="AL16" t="str">
        <f t="shared" si="30"/>
        <v>0</v>
      </c>
      <c r="AM16" t="str">
        <f t="shared" si="31"/>
        <v>0</v>
      </c>
      <c r="AN16" t="str">
        <f t="shared" si="32"/>
        <v>0</v>
      </c>
      <c r="AO16" t="str">
        <f t="shared" si="33"/>
        <v>0</v>
      </c>
      <c r="AP16" t="str">
        <f t="shared" si="34"/>
        <v>0</v>
      </c>
      <c r="AQ16" t="str">
        <f t="shared" si="35"/>
        <v>0</v>
      </c>
      <c r="AR16" t="str">
        <f t="shared" si="36"/>
        <v>0</v>
      </c>
      <c r="AS16" t="str">
        <f t="shared" si="37"/>
        <v>0</v>
      </c>
      <c r="AT16" t="str">
        <f t="shared" si="38"/>
        <v>0</v>
      </c>
      <c r="AU16" t="str">
        <f t="shared" si="39"/>
        <v>0</v>
      </c>
      <c r="AV16" t="str">
        <f t="shared" si="40"/>
        <v>0</v>
      </c>
      <c r="AW16" t="str">
        <f t="shared" si="41"/>
        <v>0</v>
      </c>
      <c r="AX16" t="str">
        <f t="shared" si="42"/>
        <v>0</v>
      </c>
      <c r="AY16" t="str">
        <f t="shared" si="43"/>
        <v>0</v>
      </c>
    </row>
    <row r="17" ht="13.85" spans="1:51">
      <c r="A17" s="83"/>
      <c r="B17" s="83"/>
      <c r="C17" s="84"/>
      <c r="E17" s="76"/>
      <c r="H17" t="str">
        <f t="shared" si="0"/>
        <v>0</v>
      </c>
      <c r="I17" t="str">
        <f t="shared" si="1"/>
        <v>0</v>
      </c>
      <c r="J17" t="str">
        <f t="shared" si="2"/>
        <v>0</v>
      </c>
      <c r="K17" t="str">
        <f t="shared" si="3"/>
        <v>0</v>
      </c>
      <c r="L17" t="str">
        <f t="shared" si="4"/>
        <v>0</v>
      </c>
      <c r="M17" t="str">
        <f t="shared" si="5"/>
        <v>0</v>
      </c>
      <c r="N17" t="str">
        <f t="shared" si="6"/>
        <v>0</v>
      </c>
      <c r="O17" t="str">
        <f t="shared" si="7"/>
        <v>0</v>
      </c>
      <c r="P17" t="str">
        <f t="shared" si="8"/>
        <v>0</v>
      </c>
      <c r="Q17" t="str">
        <f t="shared" si="9"/>
        <v>0</v>
      </c>
      <c r="R17" t="str">
        <f t="shared" si="10"/>
        <v>0</v>
      </c>
      <c r="S17" t="str">
        <f t="shared" si="11"/>
        <v>0</v>
      </c>
      <c r="T17" t="str">
        <f t="shared" si="12"/>
        <v>0</v>
      </c>
      <c r="U17" t="str">
        <f t="shared" si="13"/>
        <v>0</v>
      </c>
      <c r="V17" t="str">
        <f t="shared" si="14"/>
        <v>0</v>
      </c>
      <c r="W17" t="str">
        <f t="shared" si="15"/>
        <v>0</v>
      </c>
      <c r="X17" t="str">
        <f t="shared" si="16"/>
        <v>0</v>
      </c>
      <c r="Y17" t="str">
        <f t="shared" si="17"/>
        <v>0</v>
      </c>
      <c r="Z17" t="str">
        <f t="shared" si="18"/>
        <v>0</v>
      </c>
      <c r="AA17" t="str">
        <f t="shared" si="19"/>
        <v>0</v>
      </c>
      <c r="AB17" t="str">
        <f t="shared" si="20"/>
        <v>0</v>
      </c>
      <c r="AC17" t="str">
        <f t="shared" si="21"/>
        <v>0</v>
      </c>
      <c r="AD17" t="str">
        <f t="shared" si="22"/>
        <v>0</v>
      </c>
      <c r="AE17" t="str">
        <f t="shared" si="23"/>
        <v>0</v>
      </c>
      <c r="AF17" t="str">
        <f t="shared" si="24"/>
        <v>0</v>
      </c>
      <c r="AG17" t="str">
        <f t="shared" si="25"/>
        <v>0</v>
      </c>
      <c r="AH17" t="str">
        <f t="shared" si="26"/>
        <v>0</v>
      </c>
      <c r="AI17" t="str">
        <f t="shared" si="27"/>
        <v>0</v>
      </c>
      <c r="AJ17" t="str">
        <f t="shared" si="28"/>
        <v>0</v>
      </c>
      <c r="AK17" t="str">
        <f t="shared" si="29"/>
        <v>0</v>
      </c>
      <c r="AL17" t="str">
        <f t="shared" si="30"/>
        <v>0</v>
      </c>
      <c r="AM17" t="str">
        <f t="shared" si="31"/>
        <v>0</v>
      </c>
      <c r="AN17" t="str">
        <f t="shared" si="32"/>
        <v>0</v>
      </c>
      <c r="AO17" t="str">
        <f t="shared" si="33"/>
        <v>0</v>
      </c>
      <c r="AP17" t="str">
        <f t="shared" si="34"/>
        <v>0</v>
      </c>
      <c r="AQ17" t="str">
        <f t="shared" si="35"/>
        <v>0</v>
      </c>
      <c r="AR17" t="str">
        <f t="shared" si="36"/>
        <v>0</v>
      </c>
      <c r="AS17" t="str">
        <f t="shared" si="37"/>
        <v>0</v>
      </c>
      <c r="AT17" t="str">
        <f t="shared" si="38"/>
        <v>0</v>
      </c>
      <c r="AU17" t="str">
        <f t="shared" si="39"/>
        <v>0</v>
      </c>
      <c r="AV17" t="str">
        <f t="shared" si="40"/>
        <v>0</v>
      </c>
      <c r="AW17" t="str">
        <f t="shared" si="41"/>
        <v>0</v>
      </c>
      <c r="AX17" t="str">
        <f t="shared" si="42"/>
        <v>0</v>
      </c>
      <c r="AY17" t="str">
        <f t="shared" si="43"/>
        <v>0</v>
      </c>
    </row>
    <row r="18" ht="13.85" spans="1:51">
      <c r="A18" s="83"/>
      <c r="B18" s="83"/>
      <c r="C18" s="84"/>
      <c r="E18" s="76"/>
      <c r="H18" t="str">
        <f t="shared" si="0"/>
        <v>0</v>
      </c>
      <c r="I18" t="str">
        <f t="shared" si="1"/>
        <v>0</v>
      </c>
      <c r="J18" t="str">
        <f t="shared" si="2"/>
        <v>0</v>
      </c>
      <c r="K18" t="str">
        <f t="shared" si="3"/>
        <v>0</v>
      </c>
      <c r="L18" t="str">
        <f t="shared" si="4"/>
        <v>0</v>
      </c>
      <c r="M18" t="str">
        <f t="shared" si="5"/>
        <v>0</v>
      </c>
      <c r="N18" t="str">
        <f t="shared" si="6"/>
        <v>0</v>
      </c>
      <c r="O18" t="str">
        <f t="shared" si="7"/>
        <v>0</v>
      </c>
      <c r="P18" t="str">
        <f t="shared" si="8"/>
        <v>0</v>
      </c>
      <c r="Q18" t="str">
        <f t="shared" si="9"/>
        <v>0</v>
      </c>
      <c r="R18" t="str">
        <f t="shared" si="10"/>
        <v>0</v>
      </c>
      <c r="S18" t="str">
        <f t="shared" si="11"/>
        <v>0</v>
      </c>
      <c r="T18" t="str">
        <f t="shared" si="12"/>
        <v>0</v>
      </c>
      <c r="U18" t="str">
        <f t="shared" si="13"/>
        <v>0</v>
      </c>
      <c r="V18" t="str">
        <f t="shared" si="14"/>
        <v>0</v>
      </c>
      <c r="W18" t="str">
        <f t="shared" si="15"/>
        <v>0</v>
      </c>
      <c r="X18" t="str">
        <f t="shared" si="16"/>
        <v>0</v>
      </c>
      <c r="Y18" t="str">
        <f t="shared" si="17"/>
        <v>0</v>
      </c>
      <c r="Z18" t="str">
        <f t="shared" si="18"/>
        <v>0</v>
      </c>
      <c r="AA18" t="str">
        <f t="shared" si="19"/>
        <v>0</v>
      </c>
      <c r="AB18" t="str">
        <f t="shared" si="20"/>
        <v>0</v>
      </c>
      <c r="AC18" t="str">
        <f t="shared" si="21"/>
        <v>0</v>
      </c>
      <c r="AD18" t="str">
        <f t="shared" si="22"/>
        <v>0</v>
      </c>
      <c r="AE18" t="str">
        <f t="shared" si="23"/>
        <v>0</v>
      </c>
      <c r="AF18" t="str">
        <f t="shared" si="24"/>
        <v>0</v>
      </c>
      <c r="AG18" t="str">
        <f t="shared" si="25"/>
        <v>0</v>
      </c>
      <c r="AH18" t="str">
        <f t="shared" si="26"/>
        <v>0</v>
      </c>
      <c r="AI18" t="str">
        <f t="shared" si="27"/>
        <v>0</v>
      </c>
      <c r="AJ18" t="str">
        <f t="shared" si="28"/>
        <v>0</v>
      </c>
      <c r="AK18" t="str">
        <f t="shared" si="29"/>
        <v>0</v>
      </c>
      <c r="AL18" t="str">
        <f t="shared" si="30"/>
        <v>0</v>
      </c>
      <c r="AM18" t="str">
        <f t="shared" si="31"/>
        <v>0</v>
      </c>
      <c r="AN18" t="str">
        <f t="shared" si="32"/>
        <v>0</v>
      </c>
      <c r="AO18" t="str">
        <f t="shared" si="33"/>
        <v>0</v>
      </c>
      <c r="AP18" t="str">
        <f t="shared" si="34"/>
        <v>0</v>
      </c>
      <c r="AQ18" t="str">
        <f t="shared" si="35"/>
        <v>0</v>
      </c>
      <c r="AR18" t="str">
        <f t="shared" si="36"/>
        <v>0</v>
      </c>
      <c r="AS18" t="str">
        <f t="shared" si="37"/>
        <v>0</v>
      </c>
      <c r="AT18" t="str">
        <f t="shared" si="38"/>
        <v>0</v>
      </c>
      <c r="AU18" t="str">
        <f t="shared" si="39"/>
        <v>0</v>
      </c>
      <c r="AV18" t="str">
        <f t="shared" si="40"/>
        <v>0</v>
      </c>
      <c r="AW18" t="str">
        <f t="shared" si="41"/>
        <v>0</v>
      </c>
      <c r="AX18" t="str">
        <f t="shared" si="42"/>
        <v>0</v>
      </c>
      <c r="AY18" t="str">
        <f t="shared" si="43"/>
        <v>0</v>
      </c>
    </row>
    <row r="19" ht="13.85" spans="1:51">
      <c r="A19" s="83"/>
      <c r="B19" s="83"/>
      <c r="C19" s="84"/>
      <c r="E19" s="76"/>
      <c r="H19" t="str">
        <f t="shared" si="0"/>
        <v>0</v>
      </c>
      <c r="I19" t="str">
        <f t="shared" si="1"/>
        <v>0</v>
      </c>
      <c r="J19" t="str">
        <f t="shared" si="2"/>
        <v>0</v>
      </c>
      <c r="K19" t="str">
        <f t="shared" si="3"/>
        <v>0</v>
      </c>
      <c r="L19" t="str">
        <f t="shared" si="4"/>
        <v>0</v>
      </c>
      <c r="M19" t="str">
        <f t="shared" si="5"/>
        <v>0</v>
      </c>
      <c r="N19" t="str">
        <f t="shared" si="6"/>
        <v>0</v>
      </c>
      <c r="O19" t="str">
        <f t="shared" si="7"/>
        <v>0</v>
      </c>
      <c r="P19" t="str">
        <f t="shared" si="8"/>
        <v>0</v>
      </c>
      <c r="Q19" t="str">
        <f t="shared" si="9"/>
        <v>0</v>
      </c>
      <c r="R19" t="str">
        <f t="shared" si="10"/>
        <v>0</v>
      </c>
      <c r="S19" t="str">
        <f t="shared" si="11"/>
        <v>0</v>
      </c>
      <c r="T19" t="str">
        <f t="shared" si="12"/>
        <v>0</v>
      </c>
      <c r="U19" t="str">
        <f t="shared" si="13"/>
        <v>0</v>
      </c>
      <c r="V19" t="str">
        <f t="shared" si="14"/>
        <v>0</v>
      </c>
      <c r="W19" t="str">
        <f t="shared" si="15"/>
        <v>0</v>
      </c>
      <c r="X19" t="str">
        <f t="shared" si="16"/>
        <v>0</v>
      </c>
      <c r="Y19" t="str">
        <f t="shared" si="17"/>
        <v>0</v>
      </c>
      <c r="Z19" t="str">
        <f t="shared" si="18"/>
        <v>0</v>
      </c>
      <c r="AA19" t="str">
        <f t="shared" si="19"/>
        <v>0</v>
      </c>
      <c r="AB19" t="str">
        <f t="shared" si="20"/>
        <v>0</v>
      </c>
      <c r="AC19" t="str">
        <f t="shared" si="21"/>
        <v>0</v>
      </c>
      <c r="AD19" t="str">
        <f t="shared" si="22"/>
        <v>0</v>
      </c>
      <c r="AE19" t="str">
        <f t="shared" si="23"/>
        <v>0</v>
      </c>
      <c r="AF19" t="str">
        <f t="shared" si="24"/>
        <v>0</v>
      </c>
      <c r="AG19" t="str">
        <f t="shared" si="25"/>
        <v>0</v>
      </c>
      <c r="AH19" t="str">
        <f t="shared" si="26"/>
        <v>0</v>
      </c>
      <c r="AI19" t="str">
        <f t="shared" si="27"/>
        <v>0</v>
      </c>
      <c r="AJ19" t="str">
        <f t="shared" si="28"/>
        <v>0</v>
      </c>
      <c r="AK19" t="str">
        <f t="shared" si="29"/>
        <v>0</v>
      </c>
      <c r="AL19" t="str">
        <f t="shared" si="30"/>
        <v>0</v>
      </c>
      <c r="AM19" t="str">
        <f t="shared" si="31"/>
        <v>0</v>
      </c>
      <c r="AN19" t="str">
        <f t="shared" si="32"/>
        <v>0</v>
      </c>
      <c r="AO19" t="str">
        <f t="shared" si="33"/>
        <v>0</v>
      </c>
      <c r="AP19" t="str">
        <f t="shared" si="34"/>
        <v>0</v>
      </c>
      <c r="AQ19" t="str">
        <f t="shared" si="35"/>
        <v>0</v>
      </c>
      <c r="AR19" t="str">
        <f t="shared" si="36"/>
        <v>0</v>
      </c>
      <c r="AS19" t="str">
        <f t="shared" si="37"/>
        <v>0</v>
      </c>
      <c r="AT19" t="str">
        <f t="shared" si="38"/>
        <v>0</v>
      </c>
      <c r="AU19" t="str">
        <f t="shared" si="39"/>
        <v>0</v>
      </c>
      <c r="AV19" t="str">
        <f t="shared" si="40"/>
        <v>0</v>
      </c>
      <c r="AW19" t="str">
        <f t="shared" si="41"/>
        <v>0</v>
      </c>
      <c r="AX19" t="str">
        <f t="shared" si="42"/>
        <v>0</v>
      </c>
      <c r="AY19" t="str">
        <f t="shared" si="43"/>
        <v>0</v>
      </c>
    </row>
    <row r="20" ht="13.85" spans="1:51">
      <c r="A20" s="83"/>
      <c r="B20" s="83"/>
      <c r="C20" s="84"/>
      <c r="E20" s="77"/>
      <c r="H20" t="str">
        <f t="shared" si="0"/>
        <v>0</v>
      </c>
      <c r="I20" t="str">
        <f t="shared" si="1"/>
        <v>0</v>
      </c>
      <c r="J20" t="str">
        <f t="shared" si="2"/>
        <v>0</v>
      </c>
      <c r="K20" t="str">
        <f t="shared" si="3"/>
        <v>0</v>
      </c>
      <c r="L20" t="str">
        <f t="shared" si="4"/>
        <v>0</v>
      </c>
      <c r="M20" t="str">
        <f t="shared" si="5"/>
        <v>0</v>
      </c>
      <c r="N20" t="str">
        <f t="shared" si="6"/>
        <v>0</v>
      </c>
      <c r="O20" t="str">
        <f t="shared" si="7"/>
        <v>0</v>
      </c>
      <c r="P20" t="str">
        <f t="shared" si="8"/>
        <v>0</v>
      </c>
      <c r="Q20" t="str">
        <f t="shared" si="9"/>
        <v>0</v>
      </c>
      <c r="R20" t="str">
        <f t="shared" si="10"/>
        <v>0</v>
      </c>
      <c r="S20" t="str">
        <f t="shared" si="11"/>
        <v>0</v>
      </c>
      <c r="T20" t="str">
        <f t="shared" si="12"/>
        <v>0</v>
      </c>
      <c r="U20" t="str">
        <f t="shared" si="13"/>
        <v>0</v>
      </c>
      <c r="V20" t="str">
        <f t="shared" si="14"/>
        <v>0</v>
      </c>
      <c r="W20" t="str">
        <f t="shared" si="15"/>
        <v>0</v>
      </c>
      <c r="X20" t="str">
        <f t="shared" si="16"/>
        <v>0</v>
      </c>
      <c r="Y20" t="str">
        <f t="shared" si="17"/>
        <v>0</v>
      </c>
      <c r="Z20" t="str">
        <f t="shared" si="18"/>
        <v>0</v>
      </c>
      <c r="AA20" t="str">
        <f t="shared" si="19"/>
        <v>0</v>
      </c>
      <c r="AB20" t="str">
        <f t="shared" si="20"/>
        <v>0</v>
      </c>
      <c r="AC20" t="str">
        <f t="shared" si="21"/>
        <v>0</v>
      </c>
      <c r="AD20" t="str">
        <f t="shared" si="22"/>
        <v>0</v>
      </c>
      <c r="AE20" t="str">
        <f t="shared" si="23"/>
        <v>0</v>
      </c>
      <c r="AF20" t="str">
        <f t="shared" si="24"/>
        <v>0</v>
      </c>
      <c r="AG20" t="str">
        <f t="shared" si="25"/>
        <v>0</v>
      </c>
      <c r="AH20" t="str">
        <f t="shared" si="26"/>
        <v>0</v>
      </c>
      <c r="AI20" t="str">
        <f t="shared" si="27"/>
        <v>0</v>
      </c>
      <c r="AJ20" t="str">
        <f t="shared" si="28"/>
        <v>0</v>
      </c>
      <c r="AK20" t="str">
        <f t="shared" si="29"/>
        <v>0</v>
      </c>
      <c r="AL20" t="str">
        <f t="shared" si="30"/>
        <v>0</v>
      </c>
      <c r="AM20" t="str">
        <f t="shared" si="31"/>
        <v>0</v>
      </c>
      <c r="AN20" t="str">
        <f t="shared" si="32"/>
        <v>0</v>
      </c>
      <c r="AO20" t="str">
        <f t="shared" si="33"/>
        <v>0</v>
      </c>
      <c r="AP20" t="str">
        <f t="shared" si="34"/>
        <v>0</v>
      </c>
      <c r="AQ20" t="str">
        <f t="shared" si="35"/>
        <v>0</v>
      </c>
      <c r="AR20" t="str">
        <f t="shared" si="36"/>
        <v>0</v>
      </c>
      <c r="AS20" t="str">
        <f t="shared" si="37"/>
        <v>0</v>
      </c>
      <c r="AT20" t="str">
        <f t="shared" si="38"/>
        <v>0</v>
      </c>
      <c r="AU20" t="str">
        <f t="shared" si="39"/>
        <v>0</v>
      </c>
      <c r="AV20" t="str">
        <f t="shared" si="40"/>
        <v>0</v>
      </c>
      <c r="AW20" t="str">
        <f t="shared" si="41"/>
        <v>0</v>
      </c>
      <c r="AX20" t="str">
        <f t="shared" si="42"/>
        <v>0</v>
      </c>
      <c r="AY20" t="str">
        <f t="shared" si="43"/>
        <v>0</v>
      </c>
    </row>
    <row r="21" ht="13.85" spans="1:51">
      <c r="A21" s="83"/>
      <c r="B21" s="83"/>
      <c r="C21" s="84"/>
      <c r="E21" s="77"/>
      <c r="H21" t="str">
        <f t="shared" si="0"/>
        <v>0</v>
      </c>
      <c r="I21" t="str">
        <f t="shared" si="1"/>
        <v>0</v>
      </c>
      <c r="J21" t="str">
        <f t="shared" si="2"/>
        <v>0</v>
      </c>
      <c r="K21" t="str">
        <f t="shared" si="3"/>
        <v>0</v>
      </c>
      <c r="L21" t="str">
        <f t="shared" si="4"/>
        <v>0</v>
      </c>
      <c r="M21" t="str">
        <f t="shared" si="5"/>
        <v>0</v>
      </c>
      <c r="N21" t="str">
        <f t="shared" si="6"/>
        <v>0</v>
      </c>
      <c r="O21" t="str">
        <f t="shared" si="7"/>
        <v>0</v>
      </c>
      <c r="P21" t="str">
        <f t="shared" si="8"/>
        <v>0</v>
      </c>
      <c r="Q21" t="str">
        <f t="shared" si="9"/>
        <v>0</v>
      </c>
      <c r="R21" t="str">
        <f t="shared" si="10"/>
        <v>0</v>
      </c>
      <c r="S21" t="str">
        <f t="shared" si="11"/>
        <v>0</v>
      </c>
      <c r="T21" t="str">
        <f t="shared" si="12"/>
        <v>0</v>
      </c>
      <c r="U21" t="str">
        <f t="shared" si="13"/>
        <v>0</v>
      </c>
      <c r="V21" t="str">
        <f t="shared" si="14"/>
        <v>0</v>
      </c>
      <c r="W21" t="str">
        <f t="shared" si="15"/>
        <v>0</v>
      </c>
      <c r="X21" t="str">
        <f t="shared" si="16"/>
        <v>0</v>
      </c>
      <c r="Y21" t="str">
        <f t="shared" si="17"/>
        <v>0</v>
      </c>
      <c r="Z21" t="str">
        <f t="shared" si="18"/>
        <v>0</v>
      </c>
      <c r="AA21" t="str">
        <f t="shared" si="19"/>
        <v>0</v>
      </c>
      <c r="AB21" t="str">
        <f t="shared" si="20"/>
        <v>0</v>
      </c>
      <c r="AC21" t="str">
        <f t="shared" si="21"/>
        <v>0</v>
      </c>
      <c r="AD21" t="str">
        <f t="shared" si="22"/>
        <v>0</v>
      </c>
      <c r="AE21" t="str">
        <f t="shared" si="23"/>
        <v>0</v>
      </c>
      <c r="AF21" t="str">
        <f t="shared" si="24"/>
        <v>0</v>
      </c>
      <c r="AG21" t="str">
        <f t="shared" si="25"/>
        <v>0</v>
      </c>
      <c r="AH21" t="str">
        <f t="shared" si="26"/>
        <v>0</v>
      </c>
      <c r="AI21" t="str">
        <f t="shared" si="27"/>
        <v>0</v>
      </c>
      <c r="AJ21" t="str">
        <f t="shared" si="28"/>
        <v>0</v>
      </c>
      <c r="AK21" t="str">
        <f t="shared" si="29"/>
        <v>0</v>
      </c>
      <c r="AL21" t="str">
        <f t="shared" si="30"/>
        <v>0</v>
      </c>
      <c r="AM21" t="str">
        <f t="shared" si="31"/>
        <v>0</v>
      </c>
      <c r="AN21" t="str">
        <f t="shared" si="32"/>
        <v>0</v>
      </c>
      <c r="AO21" t="str">
        <f t="shared" si="33"/>
        <v>0</v>
      </c>
      <c r="AP21" t="str">
        <f t="shared" si="34"/>
        <v>0</v>
      </c>
      <c r="AQ21" t="str">
        <f t="shared" si="35"/>
        <v>0</v>
      </c>
      <c r="AR21" t="str">
        <f t="shared" si="36"/>
        <v>0</v>
      </c>
      <c r="AS21" t="str">
        <f t="shared" si="37"/>
        <v>0</v>
      </c>
      <c r="AT21" t="str">
        <f t="shared" si="38"/>
        <v>0</v>
      </c>
      <c r="AU21" t="str">
        <f t="shared" si="39"/>
        <v>0</v>
      </c>
      <c r="AV21" t="str">
        <f t="shared" si="40"/>
        <v>0</v>
      </c>
      <c r="AW21" t="str">
        <f t="shared" si="41"/>
        <v>0</v>
      </c>
      <c r="AX21" t="str">
        <f t="shared" si="42"/>
        <v>0</v>
      </c>
      <c r="AY21" t="str">
        <f t="shared" si="43"/>
        <v>0</v>
      </c>
    </row>
    <row r="22" ht="13.85" spans="1:51">
      <c r="A22" s="83"/>
      <c r="B22" s="83"/>
      <c r="C22" s="84"/>
      <c r="E22" s="77"/>
      <c r="H22" t="str">
        <f t="shared" si="0"/>
        <v>0</v>
      </c>
      <c r="I22" t="str">
        <f t="shared" si="1"/>
        <v>0</v>
      </c>
      <c r="J22" t="str">
        <f t="shared" si="2"/>
        <v>0</v>
      </c>
      <c r="K22" t="str">
        <f t="shared" si="3"/>
        <v>0</v>
      </c>
      <c r="L22" t="str">
        <f t="shared" si="4"/>
        <v>0</v>
      </c>
      <c r="M22" t="str">
        <f t="shared" si="5"/>
        <v>0</v>
      </c>
      <c r="N22" t="str">
        <f t="shared" si="6"/>
        <v>0</v>
      </c>
      <c r="O22" t="str">
        <f t="shared" si="7"/>
        <v>0</v>
      </c>
      <c r="P22" t="str">
        <f t="shared" si="8"/>
        <v>0</v>
      </c>
      <c r="Q22" t="str">
        <f t="shared" si="9"/>
        <v>0</v>
      </c>
      <c r="R22" t="str">
        <f t="shared" si="10"/>
        <v>0</v>
      </c>
      <c r="S22" t="str">
        <f t="shared" si="11"/>
        <v>0</v>
      </c>
      <c r="T22" t="str">
        <f t="shared" si="12"/>
        <v>0</v>
      </c>
      <c r="U22" t="str">
        <f t="shared" si="13"/>
        <v>0</v>
      </c>
      <c r="V22" t="str">
        <f t="shared" si="14"/>
        <v>0</v>
      </c>
      <c r="W22" t="str">
        <f t="shared" si="15"/>
        <v>0</v>
      </c>
      <c r="X22" t="str">
        <f t="shared" si="16"/>
        <v>0</v>
      </c>
      <c r="Y22" t="str">
        <f t="shared" si="17"/>
        <v>0</v>
      </c>
      <c r="Z22" t="str">
        <f t="shared" si="18"/>
        <v>0</v>
      </c>
      <c r="AA22" t="str">
        <f t="shared" si="19"/>
        <v>0</v>
      </c>
      <c r="AB22" t="str">
        <f t="shared" si="20"/>
        <v>0</v>
      </c>
      <c r="AC22" t="str">
        <f t="shared" si="21"/>
        <v>0</v>
      </c>
      <c r="AD22" t="str">
        <f t="shared" si="22"/>
        <v>0</v>
      </c>
      <c r="AE22" t="str">
        <f t="shared" si="23"/>
        <v>0</v>
      </c>
      <c r="AF22" t="str">
        <f t="shared" si="24"/>
        <v>0</v>
      </c>
      <c r="AG22" t="str">
        <f t="shared" si="25"/>
        <v>0</v>
      </c>
      <c r="AH22" t="str">
        <f t="shared" si="26"/>
        <v>0</v>
      </c>
      <c r="AI22" t="str">
        <f t="shared" si="27"/>
        <v>0</v>
      </c>
      <c r="AJ22" t="str">
        <f t="shared" si="28"/>
        <v>0</v>
      </c>
      <c r="AK22" t="str">
        <f t="shared" si="29"/>
        <v>0</v>
      </c>
      <c r="AL22" t="str">
        <f t="shared" si="30"/>
        <v>0</v>
      </c>
      <c r="AM22" t="str">
        <f t="shared" si="31"/>
        <v>0</v>
      </c>
      <c r="AN22" t="str">
        <f t="shared" si="32"/>
        <v>0</v>
      </c>
      <c r="AO22" t="str">
        <f t="shared" si="33"/>
        <v>0</v>
      </c>
      <c r="AP22" t="str">
        <f t="shared" si="34"/>
        <v>0</v>
      </c>
      <c r="AQ22" t="str">
        <f t="shared" si="35"/>
        <v>0</v>
      </c>
      <c r="AR22" t="str">
        <f t="shared" si="36"/>
        <v>0</v>
      </c>
      <c r="AS22" t="str">
        <f t="shared" si="37"/>
        <v>0</v>
      </c>
      <c r="AT22" t="str">
        <f t="shared" si="38"/>
        <v>0</v>
      </c>
      <c r="AU22" t="str">
        <f t="shared" si="39"/>
        <v>0</v>
      </c>
      <c r="AV22" t="str">
        <f t="shared" si="40"/>
        <v>0</v>
      </c>
      <c r="AW22" t="str">
        <f t="shared" si="41"/>
        <v>0</v>
      </c>
      <c r="AX22" t="str">
        <f t="shared" si="42"/>
        <v>0</v>
      </c>
      <c r="AY22" t="str">
        <f t="shared" si="43"/>
        <v>0</v>
      </c>
    </row>
    <row r="23" ht="13.5" spans="1:51">
      <c r="A23" s="83"/>
      <c r="B23" s="83"/>
      <c r="C23" s="84"/>
      <c r="H23" t="str">
        <f t="shared" si="0"/>
        <v>0</v>
      </c>
      <c r="I23" t="str">
        <f t="shared" si="1"/>
        <v>0</v>
      </c>
      <c r="J23" t="str">
        <f t="shared" si="2"/>
        <v>0</v>
      </c>
      <c r="K23" t="str">
        <f t="shared" si="3"/>
        <v>0</v>
      </c>
      <c r="L23" t="str">
        <f t="shared" si="4"/>
        <v>0</v>
      </c>
      <c r="M23" t="str">
        <f t="shared" si="5"/>
        <v>0</v>
      </c>
      <c r="N23" t="str">
        <f t="shared" si="6"/>
        <v>0</v>
      </c>
      <c r="O23" t="str">
        <f t="shared" si="7"/>
        <v>0</v>
      </c>
      <c r="P23" t="str">
        <f t="shared" si="8"/>
        <v>0</v>
      </c>
      <c r="Q23" t="str">
        <f t="shared" si="9"/>
        <v>0</v>
      </c>
      <c r="R23" t="str">
        <f t="shared" si="10"/>
        <v>0</v>
      </c>
      <c r="S23" t="str">
        <f t="shared" si="11"/>
        <v>0</v>
      </c>
      <c r="T23" t="str">
        <f t="shared" si="12"/>
        <v>0</v>
      </c>
      <c r="U23" t="str">
        <f t="shared" si="13"/>
        <v>0</v>
      </c>
      <c r="V23" t="str">
        <f t="shared" si="14"/>
        <v>0</v>
      </c>
      <c r="W23" t="str">
        <f t="shared" si="15"/>
        <v>0</v>
      </c>
      <c r="X23" t="str">
        <f t="shared" si="16"/>
        <v>0</v>
      </c>
      <c r="Y23" t="str">
        <f t="shared" si="17"/>
        <v>0</v>
      </c>
      <c r="Z23" t="str">
        <f t="shared" si="18"/>
        <v>0</v>
      </c>
      <c r="AA23" t="str">
        <f t="shared" si="19"/>
        <v>0</v>
      </c>
      <c r="AB23" t="str">
        <f t="shared" si="20"/>
        <v>0</v>
      </c>
      <c r="AC23" t="str">
        <f t="shared" si="21"/>
        <v>0</v>
      </c>
      <c r="AD23" t="str">
        <f t="shared" si="22"/>
        <v>0</v>
      </c>
      <c r="AE23" t="str">
        <f t="shared" si="23"/>
        <v>0</v>
      </c>
      <c r="AF23" t="str">
        <f t="shared" si="24"/>
        <v>0</v>
      </c>
      <c r="AG23" t="str">
        <f t="shared" si="25"/>
        <v>0</v>
      </c>
      <c r="AH23" t="str">
        <f t="shared" si="26"/>
        <v>0</v>
      </c>
      <c r="AI23" t="str">
        <f t="shared" si="27"/>
        <v>0</v>
      </c>
      <c r="AJ23" t="str">
        <f t="shared" si="28"/>
        <v>0</v>
      </c>
      <c r="AK23" t="str">
        <f t="shared" si="29"/>
        <v>0</v>
      </c>
      <c r="AL23" t="str">
        <f t="shared" si="30"/>
        <v>0</v>
      </c>
      <c r="AM23" t="str">
        <f t="shared" si="31"/>
        <v>0</v>
      </c>
      <c r="AN23" t="str">
        <f t="shared" si="32"/>
        <v>0</v>
      </c>
      <c r="AO23" t="str">
        <f t="shared" si="33"/>
        <v>0</v>
      </c>
      <c r="AP23" t="str">
        <f t="shared" si="34"/>
        <v>0</v>
      </c>
      <c r="AQ23" t="str">
        <f t="shared" si="35"/>
        <v>0</v>
      </c>
      <c r="AR23" t="str">
        <f t="shared" si="36"/>
        <v>0</v>
      </c>
      <c r="AS23" t="str">
        <f t="shared" si="37"/>
        <v>0</v>
      </c>
      <c r="AT23" t="str">
        <f t="shared" si="38"/>
        <v>0</v>
      </c>
      <c r="AU23" t="str">
        <f t="shared" si="39"/>
        <v>0</v>
      </c>
      <c r="AV23" t="str">
        <f t="shared" si="40"/>
        <v>0</v>
      </c>
      <c r="AW23" t="str">
        <f t="shared" si="41"/>
        <v>0</v>
      </c>
      <c r="AX23" t="str">
        <f t="shared" si="42"/>
        <v>0</v>
      </c>
      <c r="AY23" t="str">
        <f t="shared" si="43"/>
        <v>0</v>
      </c>
    </row>
    <row r="24" ht="13.5" spans="1:51">
      <c r="A24" s="83"/>
      <c r="B24" s="83"/>
      <c r="C24" s="84"/>
      <c r="H24" t="str">
        <f t="shared" si="0"/>
        <v>0</v>
      </c>
      <c r="I24" t="str">
        <f t="shared" si="1"/>
        <v>0</v>
      </c>
      <c r="J24" t="str">
        <f t="shared" si="2"/>
        <v>0</v>
      </c>
      <c r="K24" t="str">
        <f t="shared" si="3"/>
        <v>0</v>
      </c>
      <c r="L24" t="str">
        <f t="shared" si="4"/>
        <v>0</v>
      </c>
      <c r="M24" t="str">
        <f t="shared" si="5"/>
        <v>0</v>
      </c>
      <c r="N24" t="str">
        <f t="shared" si="6"/>
        <v>0</v>
      </c>
      <c r="O24" t="str">
        <f t="shared" si="7"/>
        <v>0</v>
      </c>
      <c r="P24" t="str">
        <f t="shared" si="8"/>
        <v>0</v>
      </c>
      <c r="Q24" t="str">
        <f t="shared" si="9"/>
        <v>0</v>
      </c>
      <c r="R24" t="str">
        <f t="shared" si="10"/>
        <v>0</v>
      </c>
      <c r="S24" t="str">
        <f t="shared" si="11"/>
        <v>0</v>
      </c>
      <c r="T24" t="str">
        <f t="shared" si="12"/>
        <v>0</v>
      </c>
      <c r="U24" t="str">
        <f t="shared" si="13"/>
        <v>0</v>
      </c>
      <c r="V24" t="str">
        <f t="shared" si="14"/>
        <v>0</v>
      </c>
      <c r="W24" t="str">
        <f t="shared" si="15"/>
        <v>0</v>
      </c>
      <c r="X24" t="str">
        <f t="shared" si="16"/>
        <v>0</v>
      </c>
      <c r="Y24" t="str">
        <f t="shared" si="17"/>
        <v>0</v>
      </c>
      <c r="Z24" t="str">
        <f t="shared" si="18"/>
        <v>0</v>
      </c>
      <c r="AA24" t="str">
        <f t="shared" si="19"/>
        <v>0</v>
      </c>
      <c r="AB24" t="str">
        <f t="shared" si="20"/>
        <v>0</v>
      </c>
      <c r="AC24" t="str">
        <f t="shared" si="21"/>
        <v>0</v>
      </c>
      <c r="AD24" t="str">
        <f t="shared" si="22"/>
        <v>0</v>
      </c>
      <c r="AE24" t="str">
        <f t="shared" si="23"/>
        <v>0</v>
      </c>
      <c r="AF24" t="str">
        <f t="shared" si="24"/>
        <v>0</v>
      </c>
      <c r="AG24" t="str">
        <f t="shared" si="25"/>
        <v>0</v>
      </c>
      <c r="AH24" t="str">
        <f t="shared" si="26"/>
        <v>0</v>
      </c>
      <c r="AI24" t="str">
        <f t="shared" si="27"/>
        <v>0</v>
      </c>
      <c r="AJ24" t="str">
        <f t="shared" si="28"/>
        <v>0</v>
      </c>
      <c r="AK24" t="str">
        <f t="shared" si="29"/>
        <v>0</v>
      </c>
      <c r="AL24" t="str">
        <f t="shared" si="30"/>
        <v>0</v>
      </c>
      <c r="AM24" t="str">
        <f t="shared" si="31"/>
        <v>0</v>
      </c>
      <c r="AN24" t="str">
        <f t="shared" si="32"/>
        <v>0</v>
      </c>
      <c r="AO24" t="str">
        <f t="shared" si="33"/>
        <v>0</v>
      </c>
      <c r="AP24" t="str">
        <f t="shared" si="34"/>
        <v>0</v>
      </c>
      <c r="AQ24" t="str">
        <f t="shared" si="35"/>
        <v>0</v>
      </c>
      <c r="AR24" t="str">
        <f t="shared" si="36"/>
        <v>0</v>
      </c>
      <c r="AS24" t="str">
        <f t="shared" si="37"/>
        <v>0</v>
      </c>
      <c r="AT24" t="str">
        <f t="shared" si="38"/>
        <v>0</v>
      </c>
      <c r="AU24" t="str">
        <f t="shared" si="39"/>
        <v>0</v>
      </c>
      <c r="AV24" t="str">
        <f t="shared" si="40"/>
        <v>0</v>
      </c>
      <c r="AW24" t="str">
        <f t="shared" si="41"/>
        <v>0</v>
      </c>
      <c r="AX24" t="str">
        <f t="shared" si="42"/>
        <v>0</v>
      </c>
      <c r="AY24" t="str">
        <f t="shared" si="43"/>
        <v>0</v>
      </c>
    </row>
    <row r="25" ht="13.5" spans="1:51">
      <c r="A25" s="83"/>
      <c r="B25" s="83"/>
      <c r="C25" s="84"/>
      <c r="H25" t="str">
        <f t="shared" si="0"/>
        <v>0</v>
      </c>
      <c r="I25" t="str">
        <f t="shared" si="1"/>
        <v>0</v>
      </c>
      <c r="J25" t="str">
        <f t="shared" si="2"/>
        <v>0</v>
      </c>
      <c r="K25" t="str">
        <f t="shared" si="3"/>
        <v>0</v>
      </c>
      <c r="L25" t="str">
        <f t="shared" si="4"/>
        <v>0</v>
      </c>
      <c r="M25" t="str">
        <f t="shared" si="5"/>
        <v>0</v>
      </c>
      <c r="N25" t="str">
        <f t="shared" si="6"/>
        <v>0</v>
      </c>
      <c r="O25" t="str">
        <f t="shared" si="7"/>
        <v>0</v>
      </c>
      <c r="P25" t="str">
        <f t="shared" si="8"/>
        <v>0</v>
      </c>
      <c r="Q25" t="str">
        <f t="shared" si="9"/>
        <v>0</v>
      </c>
      <c r="R25" t="str">
        <f t="shared" si="10"/>
        <v>0</v>
      </c>
      <c r="S25" t="str">
        <f t="shared" si="11"/>
        <v>0</v>
      </c>
      <c r="T25" t="str">
        <f t="shared" si="12"/>
        <v>0</v>
      </c>
      <c r="U25" t="str">
        <f t="shared" si="13"/>
        <v>0</v>
      </c>
      <c r="V25" t="str">
        <f t="shared" si="14"/>
        <v>0</v>
      </c>
      <c r="W25" t="str">
        <f t="shared" si="15"/>
        <v>0</v>
      </c>
      <c r="X25" t="str">
        <f t="shared" si="16"/>
        <v>0</v>
      </c>
      <c r="Y25" t="str">
        <f t="shared" si="17"/>
        <v>0</v>
      </c>
      <c r="Z25" t="str">
        <f t="shared" si="18"/>
        <v>0</v>
      </c>
      <c r="AA25" t="str">
        <f t="shared" si="19"/>
        <v>0</v>
      </c>
      <c r="AB25" t="str">
        <f t="shared" si="20"/>
        <v>0</v>
      </c>
      <c r="AC25" t="str">
        <f t="shared" si="21"/>
        <v>0</v>
      </c>
      <c r="AD25" t="str">
        <f t="shared" si="22"/>
        <v>0</v>
      </c>
      <c r="AE25" t="str">
        <f t="shared" si="23"/>
        <v>0</v>
      </c>
      <c r="AF25" t="str">
        <f t="shared" si="24"/>
        <v>0</v>
      </c>
      <c r="AG25" t="str">
        <f t="shared" si="25"/>
        <v>0</v>
      </c>
      <c r="AH25" t="str">
        <f t="shared" si="26"/>
        <v>0</v>
      </c>
      <c r="AI25" t="str">
        <f t="shared" si="27"/>
        <v>0</v>
      </c>
      <c r="AJ25" t="str">
        <f t="shared" si="28"/>
        <v>0</v>
      </c>
      <c r="AK25" t="str">
        <f t="shared" si="29"/>
        <v>0</v>
      </c>
      <c r="AL25" t="str">
        <f t="shared" si="30"/>
        <v>0</v>
      </c>
      <c r="AM25" t="str">
        <f t="shared" si="31"/>
        <v>0</v>
      </c>
      <c r="AN25" t="str">
        <f t="shared" si="32"/>
        <v>0</v>
      </c>
      <c r="AO25" t="str">
        <f t="shared" si="33"/>
        <v>0</v>
      </c>
      <c r="AP25" t="str">
        <f t="shared" si="34"/>
        <v>0</v>
      </c>
      <c r="AQ25" t="str">
        <f t="shared" si="35"/>
        <v>0</v>
      </c>
      <c r="AR25" t="str">
        <f t="shared" si="36"/>
        <v>0</v>
      </c>
      <c r="AS25" t="str">
        <f t="shared" si="37"/>
        <v>0</v>
      </c>
      <c r="AT25" t="str">
        <f t="shared" si="38"/>
        <v>0</v>
      </c>
      <c r="AU25" t="str">
        <f t="shared" si="39"/>
        <v>0</v>
      </c>
      <c r="AV25" t="str">
        <f t="shared" si="40"/>
        <v>0</v>
      </c>
      <c r="AW25" t="str">
        <f t="shared" si="41"/>
        <v>0</v>
      </c>
      <c r="AX25" t="str">
        <f t="shared" si="42"/>
        <v>0</v>
      </c>
      <c r="AY25" t="str">
        <f t="shared" si="43"/>
        <v>0</v>
      </c>
    </row>
    <row r="26" ht="13.5" spans="1:51">
      <c r="A26" s="83"/>
      <c r="B26" s="83"/>
      <c r="C26" s="84"/>
      <c r="H26" t="str">
        <f t="shared" si="0"/>
        <v>0</v>
      </c>
      <c r="I26" t="str">
        <f t="shared" si="1"/>
        <v>0</v>
      </c>
      <c r="J26" t="str">
        <f t="shared" si="2"/>
        <v>0</v>
      </c>
      <c r="K26" t="str">
        <f t="shared" si="3"/>
        <v>0</v>
      </c>
      <c r="L26" t="str">
        <f t="shared" si="4"/>
        <v>0</v>
      </c>
      <c r="M26" t="str">
        <f t="shared" si="5"/>
        <v>0</v>
      </c>
      <c r="N26" t="str">
        <f t="shared" si="6"/>
        <v>0</v>
      </c>
      <c r="O26" t="str">
        <f t="shared" si="7"/>
        <v>0</v>
      </c>
      <c r="P26" t="str">
        <f t="shared" si="8"/>
        <v>0</v>
      </c>
      <c r="Q26" t="str">
        <f t="shared" si="9"/>
        <v>0</v>
      </c>
      <c r="R26" t="str">
        <f t="shared" si="10"/>
        <v>0</v>
      </c>
      <c r="S26" t="str">
        <f t="shared" si="11"/>
        <v>0</v>
      </c>
      <c r="T26" t="str">
        <f t="shared" si="12"/>
        <v>0</v>
      </c>
      <c r="U26" t="str">
        <f t="shared" si="13"/>
        <v>0</v>
      </c>
      <c r="V26" t="str">
        <f t="shared" si="14"/>
        <v>0</v>
      </c>
      <c r="W26" t="str">
        <f t="shared" si="15"/>
        <v>0</v>
      </c>
      <c r="X26" t="str">
        <f t="shared" si="16"/>
        <v>0</v>
      </c>
      <c r="Y26" t="str">
        <f t="shared" si="17"/>
        <v>0</v>
      </c>
      <c r="Z26" t="str">
        <f t="shared" si="18"/>
        <v>0</v>
      </c>
      <c r="AA26" t="str">
        <f t="shared" si="19"/>
        <v>0</v>
      </c>
      <c r="AB26" t="str">
        <f t="shared" si="20"/>
        <v>0</v>
      </c>
      <c r="AC26" t="str">
        <f t="shared" si="21"/>
        <v>0</v>
      </c>
      <c r="AD26" t="str">
        <f t="shared" si="22"/>
        <v>0</v>
      </c>
      <c r="AE26" t="str">
        <f t="shared" si="23"/>
        <v>0</v>
      </c>
      <c r="AF26" t="str">
        <f t="shared" si="24"/>
        <v>0</v>
      </c>
      <c r="AG26" t="str">
        <f t="shared" si="25"/>
        <v>0</v>
      </c>
      <c r="AH26" t="str">
        <f t="shared" si="26"/>
        <v>0</v>
      </c>
      <c r="AI26" t="str">
        <f t="shared" si="27"/>
        <v>0</v>
      </c>
      <c r="AJ26" t="str">
        <f t="shared" si="28"/>
        <v>0</v>
      </c>
      <c r="AK26" t="str">
        <f t="shared" si="29"/>
        <v>0</v>
      </c>
      <c r="AL26" t="str">
        <f t="shared" si="30"/>
        <v>0</v>
      </c>
      <c r="AM26" t="str">
        <f t="shared" si="31"/>
        <v>0</v>
      </c>
      <c r="AN26" t="str">
        <f t="shared" si="32"/>
        <v>0</v>
      </c>
      <c r="AO26" t="str">
        <f t="shared" si="33"/>
        <v>0</v>
      </c>
      <c r="AP26" t="str">
        <f t="shared" si="34"/>
        <v>0</v>
      </c>
      <c r="AQ26" t="str">
        <f t="shared" si="35"/>
        <v>0</v>
      </c>
      <c r="AR26" t="str">
        <f t="shared" si="36"/>
        <v>0</v>
      </c>
      <c r="AS26" t="str">
        <f t="shared" si="37"/>
        <v>0</v>
      </c>
      <c r="AT26" t="str">
        <f t="shared" si="38"/>
        <v>0</v>
      </c>
      <c r="AU26" t="str">
        <f t="shared" si="39"/>
        <v>0</v>
      </c>
      <c r="AV26" t="str">
        <f t="shared" si="40"/>
        <v>0</v>
      </c>
      <c r="AW26" t="str">
        <f t="shared" si="41"/>
        <v>0</v>
      </c>
      <c r="AX26" t="str">
        <f t="shared" si="42"/>
        <v>0</v>
      </c>
      <c r="AY26" t="str">
        <f t="shared" si="43"/>
        <v>0</v>
      </c>
    </row>
    <row r="27" ht="13.5" spans="1:51">
      <c r="A27" s="83"/>
      <c r="B27" s="83"/>
      <c r="C27" s="84"/>
      <c r="H27" t="str">
        <f t="shared" si="0"/>
        <v>0</v>
      </c>
      <c r="I27" t="str">
        <f t="shared" si="1"/>
        <v>0</v>
      </c>
      <c r="J27" t="str">
        <f t="shared" si="2"/>
        <v>0</v>
      </c>
      <c r="K27" t="str">
        <f t="shared" si="3"/>
        <v>0</v>
      </c>
      <c r="L27" t="str">
        <f t="shared" si="4"/>
        <v>0</v>
      </c>
      <c r="M27" t="str">
        <f t="shared" si="5"/>
        <v>0</v>
      </c>
      <c r="N27" t="str">
        <f t="shared" si="6"/>
        <v>0</v>
      </c>
      <c r="O27" t="str">
        <f t="shared" si="7"/>
        <v>0</v>
      </c>
      <c r="P27" t="str">
        <f t="shared" si="8"/>
        <v>0</v>
      </c>
      <c r="Q27" t="str">
        <f t="shared" si="9"/>
        <v>0</v>
      </c>
      <c r="R27" t="str">
        <f t="shared" si="10"/>
        <v>0</v>
      </c>
      <c r="S27" t="str">
        <f t="shared" si="11"/>
        <v>0</v>
      </c>
      <c r="T27" t="str">
        <f t="shared" si="12"/>
        <v>0</v>
      </c>
      <c r="U27" t="str">
        <f t="shared" si="13"/>
        <v>0</v>
      </c>
      <c r="V27" t="str">
        <f t="shared" si="14"/>
        <v>0</v>
      </c>
      <c r="W27" t="str">
        <f t="shared" si="15"/>
        <v>0</v>
      </c>
      <c r="X27" t="str">
        <f t="shared" si="16"/>
        <v>0</v>
      </c>
      <c r="Y27" t="str">
        <f t="shared" si="17"/>
        <v>0</v>
      </c>
      <c r="Z27" t="str">
        <f t="shared" si="18"/>
        <v>0</v>
      </c>
      <c r="AA27" t="str">
        <f t="shared" si="19"/>
        <v>0</v>
      </c>
      <c r="AB27" t="str">
        <f t="shared" si="20"/>
        <v>0</v>
      </c>
      <c r="AC27" t="str">
        <f t="shared" si="21"/>
        <v>0</v>
      </c>
      <c r="AD27" t="str">
        <f t="shared" si="22"/>
        <v>0</v>
      </c>
      <c r="AE27" t="str">
        <f t="shared" si="23"/>
        <v>0</v>
      </c>
      <c r="AF27" t="str">
        <f t="shared" si="24"/>
        <v>0</v>
      </c>
      <c r="AG27" t="str">
        <f t="shared" si="25"/>
        <v>0</v>
      </c>
      <c r="AH27" t="str">
        <f t="shared" si="26"/>
        <v>0</v>
      </c>
      <c r="AI27" t="str">
        <f t="shared" si="27"/>
        <v>0</v>
      </c>
      <c r="AJ27" t="str">
        <f t="shared" si="28"/>
        <v>0</v>
      </c>
      <c r="AK27" t="str">
        <f t="shared" si="29"/>
        <v>0</v>
      </c>
      <c r="AL27" t="str">
        <f t="shared" si="30"/>
        <v>0</v>
      </c>
      <c r="AM27" t="str">
        <f t="shared" si="31"/>
        <v>0</v>
      </c>
      <c r="AN27" t="str">
        <f t="shared" si="32"/>
        <v>0</v>
      </c>
      <c r="AO27" t="str">
        <f t="shared" si="33"/>
        <v>0</v>
      </c>
      <c r="AP27" t="str">
        <f t="shared" si="34"/>
        <v>0</v>
      </c>
      <c r="AQ27" t="str">
        <f t="shared" si="35"/>
        <v>0</v>
      </c>
      <c r="AR27" t="str">
        <f t="shared" si="36"/>
        <v>0</v>
      </c>
      <c r="AS27" t="str">
        <f t="shared" si="37"/>
        <v>0</v>
      </c>
      <c r="AT27" t="str">
        <f t="shared" si="38"/>
        <v>0</v>
      </c>
      <c r="AU27" t="str">
        <f t="shared" si="39"/>
        <v>0</v>
      </c>
      <c r="AV27" t="str">
        <f t="shared" si="40"/>
        <v>0</v>
      </c>
      <c r="AW27" t="str">
        <f t="shared" si="41"/>
        <v>0</v>
      </c>
      <c r="AX27" t="str">
        <f t="shared" si="42"/>
        <v>0</v>
      </c>
      <c r="AY27" t="str">
        <f t="shared" si="43"/>
        <v>0</v>
      </c>
    </row>
    <row r="28" ht="13.5" spans="1:51">
      <c r="A28" s="83"/>
      <c r="B28" s="83"/>
      <c r="C28" s="84"/>
      <c r="H28" t="str">
        <f t="shared" si="0"/>
        <v>0</v>
      </c>
      <c r="I28" t="str">
        <f t="shared" si="1"/>
        <v>0</v>
      </c>
      <c r="J28" t="str">
        <f t="shared" si="2"/>
        <v>0</v>
      </c>
      <c r="K28" t="str">
        <f t="shared" si="3"/>
        <v>0</v>
      </c>
      <c r="L28" t="str">
        <f t="shared" si="4"/>
        <v>0</v>
      </c>
      <c r="M28" t="str">
        <f t="shared" si="5"/>
        <v>0</v>
      </c>
      <c r="N28" t="str">
        <f t="shared" si="6"/>
        <v>0</v>
      </c>
      <c r="O28" t="str">
        <f t="shared" si="7"/>
        <v>0</v>
      </c>
      <c r="P28" t="str">
        <f t="shared" si="8"/>
        <v>0</v>
      </c>
      <c r="Q28" t="str">
        <f t="shared" si="9"/>
        <v>0</v>
      </c>
      <c r="R28" t="str">
        <f t="shared" si="10"/>
        <v>0</v>
      </c>
      <c r="S28" t="str">
        <f t="shared" si="11"/>
        <v>0</v>
      </c>
      <c r="T28" t="str">
        <f t="shared" si="12"/>
        <v>0</v>
      </c>
      <c r="U28" t="str">
        <f t="shared" si="13"/>
        <v>0</v>
      </c>
      <c r="V28" t="str">
        <f t="shared" si="14"/>
        <v>0</v>
      </c>
      <c r="W28" t="str">
        <f t="shared" si="15"/>
        <v>0</v>
      </c>
      <c r="X28" t="str">
        <f t="shared" si="16"/>
        <v>0</v>
      </c>
      <c r="Y28" t="str">
        <f t="shared" si="17"/>
        <v>0</v>
      </c>
      <c r="Z28" t="str">
        <f t="shared" si="18"/>
        <v>0</v>
      </c>
      <c r="AA28" t="str">
        <f t="shared" si="19"/>
        <v>0</v>
      </c>
      <c r="AB28" t="str">
        <f t="shared" si="20"/>
        <v>0</v>
      </c>
      <c r="AC28" t="str">
        <f t="shared" si="21"/>
        <v>0</v>
      </c>
      <c r="AD28" t="str">
        <f t="shared" si="22"/>
        <v>0</v>
      </c>
      <c r="AE28" t="str">
        <f t="shared" si="23"/>
        <v>0</v>
      </c>
      <c r="AF28" t="str">
        <f t="shared" si="24"/>
        <v>0</v>
      </c>
      <c r="AG28" t="str">
        <f t="shared" si="25"/>
        <v>0</v>
      </c>
      <c r="AH28" t="str">
        <f t="shared" si="26"/>
        <v>0</v>
      </c>
      <c r="AI28" t="str">
        <f t="shared" si="27"/>
        <v>0</v>
      </c>
      <c r="AJ28" t="str">
        <f t="shared" si="28"/>
        <v>0</v>
      </c>
      <c r="AK28" t="str">
        <f t="shared" si="29"/>
        <v>0</v>
      </c>
      <c r="AL28" t="str">
        <f t="shared" si="30"/>
        <v>0</v>
      </c>
      <c r="AM28" t="str">
        <f t="shared" si="31"/>
        <v>0</v>
      </c>
      <c r="AN28" t="str">
        <f t="shared" si="32"/>
        <v>0</v>
      </c>
      <c r="AO28" t="str">
        <f t="shared" si="33"/>
        <v>0</v>
      </c>
      <c r="AP28" t="str">
        <f t="shared" si="34"/>
        <v>0</v>
      </c>
      <c r="AQ28" t="str">
        <f t="shared" si="35"/>
        <v>0</v>
      </c>
      <c r="AR28" t="str">
        <f t="shared" si="36"/>
        <v>0</v>
      </c>
      <c r="AS28" t="str">
        <f t="shared" si="37"/>
        <v>0</v>
      </c>
      <c r="AT28" t="str">
        <f t="shared" si="38"/>
        <v>0</v>
      </c>
      <c r="AU28" t="str">
        <f t="shared" si="39"/>
        <v>0</v>
      </c>
      <c r="AV28" t="str">
        <f t="shared" si="40"/>
        <v>0</v>
      </c>
      <c r="AW28" t="str">
        <f t="shared" si="41"/>
        <v>0</v>
      </c>
      <c r="AX28" t="str">
        <f t="shared" si="42"/>
        <v>0</v>
      </c>
      <c r="AY28" t="str">
        <f t="shared" si="43"/>
        <v>0</v>
      </c>
    </row>
    <row r="29" ht="13.5" spans="1:51">
      <c r="A29" s="83"/>
      <c r="B29" s="83"/>
      <c r="C29" s="84"/>
      <c r="H29" t="str">
        <f t="shared" si="0"/>
        <v>0</v>
      </c>
      <c r="I29" t="str">
        <f t="shared" si="1"/>
        <v>0</v>
      </c>
      <c r="J29" t="str">
        <f t="shared" si="2"/>
        <v>0</v>
      </c>
      <c r="K29" t="str">
        <f t="shared" si="3"/>
        <v>0</v>
      </c>
      <c r="L29" t="str">
        <f t="shared" si="4"/>
        <v>0</v>
      </c>
      <c r="M29" t="str">
        <f t="shared" si="5"/>
        <v>0</v>
      </c>
      <c r="N29" t="str">
        <f t="shared" si="6"/>
        <v>0</v>
      </c>
      <c r="O29" t="str">
        <f t="shared" si="7"/>
        <v>0</v>
      </c>
      <c r="P29" t="str">
        <f t="shared" si="8"/>
        <v>0</v>
      </c>
      <c r="Q29" t="str">
        <f t="shared" si="9"/>
        <v>0</v>
      </c>
      <c r="R29" t="str">
        <f t="shared" si="10"/>
        <v>0</v>
      </c>
      <c r="S29" t="str">
        <f t="shared" si="11"/>
        <v>0</v>
      </c>
      <c r="T29" t="str">
        <f t="shared" si="12"/>
        <v>0</v>
      </c>
      <c r="U29" t="str">
        <f t="shared" si="13"/>
        <v>0</v>
      </c>
      <c r="V29" t="str">
        <f t="shared" si="14"/>
        <v>0</v>
      </c>
      <c r="W29" t="str">
        <f t="shared" si="15"/>
        <v>0</v>
      </c>
      <c r="X29" t="str">
        <f t="shared" si="16"/>
        <v>0</v>
      </c>
      <c r="Y29" t="str">
        <f t="shared" si="17"/>
        <v>0</v>
      </c>
      <c r="Z29" t="str">
        <f t="shared" si="18"/>
        <v>0</v>
      </c>
      <c r="AA29" t="str">
        <f t="shared" si="19"/>
        <v>0</v>
      </c>
      <c r="AB29" t="str">
        <f t="shared" si="20"/>
        <v>0</v>
      </c>
      <c r="AC29" t="str">
        <f t="shared" si="21"/>
        <v>0</v>
      </c>
      <c r="AD29" t="str">
        <f t="shared" si="22"/>
        <v>0</v>
      </c>
      <c r="AE29" t="str">
        <f t="shared" si="23"/>
        <v>0</v>
      </c>
      <c r="AF29" t="str">
        <f t="shared" si="24"/>
        <v>0</v>
      </c>
      <c r="AG29" t="str">
        <f t="shared" si="25"/>
        <v>0</v>
      </c>
      <c r="AH29" t="str">
        <f t="shared" si="26"/>
        <v>0</v>
      </c>
      <c r="AI29" t="str">
        <f t="shared" si="27"/>
        <v>0</v>
      </c>
      <c r="AJ29" t="str">
        <f t="shared" si="28"/>
        <v>0</v>
      </c>
      <c r="AK29" t="str">
        <f t="shared" si="29"/>
        <v>0</v>
      </c>
      <c r="AL29" t="str">
        <f t="shared" si="30"/>
        <v>0</v>
      </c>
      <c r="AM29" t="str">
        <f t="shared" si="31"/>
        <v>0</v>
      </c>
      <c r="AN29" t="str">
        <f t="shared" si="32"/>
        <v>0</v>
      </c>
      <c r="AO29" t="str">
        <f t="shared" si="33"/>
        <v>0</v>
      </c>
      <c r="AP29" t="str">
        <f t="shared" si="34"/>
        <v>0</v>
      </c>
      <c r="AQ29" t="str">
        <f t="shared" si="35"/>
        <v>0</v>
      </c>
      <c r="AR29" t="str">
        <f t="shared" si="36"/>
        <v>0</v>
      </c>
      <c r="AS29" t="str">
        <f t="shared" si="37"/>
        <v>0</v>
      </c>
      <c r="AT29" t="str">
        <f t="shared" si="38"/>
        <v>0</v>
      </c>
      <c r="AU29" t="str">
        <f t="shared" si="39"/>
        <v>0</v>
      </c>
      <c r="AV29" t="str">
        <f t="shared" si="40"/>
        <v>0</v>
      </c>
      <c r="AW29" t="str">
        <f t="shared" si="41"/>
        <v>0</v>
      </c>
      <c r="AX29" t="str">
        <f t="shared" si="42"/>
        <v>0</v>
      </c>
      <c r="AY29" t="str">
        <f t="shared" si="43"/>
        <v>0</v>
      </c>
    </row>
    <row r="30" ht="13.5" spans="1:51">
      <c r="A30" s="83"/>
      <c r="B30" s="83"/>
      <c r="C30" s="84"/>
      <c r="H30" t="str">
        <f t="shared" si="0"/>
        <v>0</v>
      </c>
      <c r="I30" t="str">
        <f t="shared" si="1"/>
        <v>0</v>
      </c>
      <c r="J30" t="str">
        <f t="shared" si="2"/>
        <v>0</v>
      </c>
      <c r="K30" t="str">
        <f t="shared" si="3"/>
        <v>0</v>
      </c>
      <c r="L30" t="str">
        <f t="shared" si="4"/>
        <v>0</v>
      </c>
      <c r="M30" t="str">
        <f t="shared" si="5"/>
        <v>0</v>
      </c>
      <c r="N30" t="str">
        <f t="shared" si="6"/>
        <v>0</v>
      </c>
      <c r="O30" t="str">
        <f t="shared" si="7"/>
        <v>0</v>
      </c>
      <c r="P30" t="str">
        <f t="shared" si="8"/>
        <v>0</v>
      </c>
      <c r="Q30" t="str">
        <f t="shared" si="9"/>
        <v>0</v>
      </c>
      <c r="R30" t="str">
        <f t="shared" si="10"/>
        <v>0</v>
      </c>
      <c r="S30" t="str">
        <f t="shared" si="11"/>
        <v>0</v>
      </c>
      <c r="T30" t="str">
        <f t="shared" si="12"/>
        <v>0</v>
      </c>
      <c r="U30" t="str">
        <f t="shared" si="13"/>
        <v>0</v>
      </c>
      <c r="V30" t="str">
        <f t="shared" si="14"/>
        <v>0</v>
      </c>
      <c r="W30" t="str">
        <f t="shared" si="15"/>
        <v>0</v>
      </c>
      <c r="X30" t="str">
        <f t="shared" si="16"/>
        <v>0</v>
      </c>
      <c r="Y30" t="str">
        <f t="shared" si="17"/>
        <v>0</v>
      </c>
      <c r="Z30" t="str">
        <f t="shared" si="18"/>
        <v>0</v>
      </c>
      <c r="AA30" t="str">
        <f t="shared" si="19"/>
        <v>0</v>
      </c>
      <c r="AB30" t="str">
        <f t="shared" si="20"/>
        <v>0</v>
      </c>
      <c r="AC30" t="str">
        <f t="shared" si="21"/>
        <v>0</v>
      </c>
      <c r="AD30" t="str">
        <f t="shared" si="22"/>
        <v>0</v>
      </c>
      <c r="AE30" t="str">
        <f t="shared" si="23"/>
        <v>0</v>
      </c>
      <c r="AF30" t="str">
        <f t="shared" si="24"/>
        <v>0</v>
      </c>
      <c r="AG30" t="str">
        <f t="shared" si="25"/>
        <v>0</v>
      </c>
      <c r="AH30" t="str">
        <f t="shared" si="26"/>
        <v>0</v>
      </c>
      <c r="AI30" t="str">
        <f t="shared" si="27"/>
        <v>0</v>
      </c>
      <c r="AJ30" t="str">
        <f t="shared" si="28"/>
        <v>0</v>
      </c>
      <c r="AK30" t="str">
        <f t="shared" si="29"/>
        <v>0</v>
      </c>
      <c r="AL30" t="str">
        <f t="shared" si="30"/>
        <v>0</v>
      </c>
      <c r="AM30" t="str">
        <f t="shared" si="31"/>
        <v>0</v>
      </c>
      <c r="AN30" t="str">
        <f t="shared" si="32"/>
        <v>0</v>
      </c>
      <c r="AO30" t="str">
        <f t="shared" si="33"/>
        <v>0</v>
      </c>
      <c r="AP30" t="str">
        <f t="shared" si="34"/>
        <v>0</v>
      </c>
      <c r="AQ30" t="str">
        <f t="shared" si="35"/>
        <v>0</v>
      </c>
      <c r="AR30" t="str">
        <f t="shared" si="36"/>
        <v>0</v>
      </c>
      <c r="AS30" t="str">
        <f t="shared" si="37"/>
        <v>0</v>
      </c>
      <c r="AT30" t="str">
        <f t="shared" si="38"/>
        <v>0</v>
      </c>
      <c r="AU30" t="str">
        <f t="shared" si="39"/>
        <v>0</v>
      </c>
      <c r="AV30" t="str">
        <f t="shared" si="40"/>
        <v>0</v>
      </c>
      <c r="AW30" t="str">
        <f t="shared" si="41"/>
        <v>0</v>
      </c>
      <c r="AX30" t="str">
        <f t="shared" si="42"/>
        <v>0</v>
      </c>
      <c r="AY30" t="str">
        <f t="shared" si="43"/>
        <v>0</v>
      </c>
    </row>
    <row r="31" ht="13.5" spans="1:51">
      <c r="A31" s="83"/>
      <c r="B31" s="83"/>
      <c r="C31" s="84"/>
      <c r="H31" t="str">
        <f t="shared" si="0"/>
        <v>0</v>
      </c>
      <c r="I31" t="str">
        <f t="shared" si="1"/>
        <v>0</v>
      </c>
      <c r="J31" t="str">
        <f t="shared" si="2"/>
        <v>0</v>
      </c>
      <c r="K31" t="str">
        <f t="shared" si="3"/>
        <v>0</v>
      </c>
      <c r="L31" t="str">
        <f t="shared" si="4"/>
        <v>0</v>
      </c>
      <c r="M31" t="str">
        <f t="shared" si="5"/>
        <v>0</v>
      </c>
      <c r="N31" t="str">
        <f t="shared" si="6"/>
        <v>0</v>
      </c>
      <c r="O31" t="str">
        <f t="shared" si="7"/>
        <v>0</v>
      </c>
      <c r="P31" t="str">
        <f t="shared" si="8"/>
        <v>0</v>
      </c>
      <c r="Q31" t="str">
        <f t="shared" si="9"/>
        <v>0</v>
      </c>
      <c r="R31" t="str">
        <f t="shared" si="10"/>
        <v>0</v>
      </c>
      <c r="S31" t="str">
        <f t="shared" si="11"/>
        <v>0</v>
      </c>
      <c r="T31" t="str">
        <f t="shared" si="12"/>
        <v>0</v>
      </c>
      <c r="U31" t="str">
        <f t="shared" si="13"/>
        <v>0</v>
      </c>
      <c r="V31" t="str">
        <f t="shared" si="14"/>
        <v>0</v>
      </c>
      <c r="W31" t="str">
        <f t="shared" si="15"/>
        <v>0</v>
      </c>
      <c r="X31" t="str">
        <f t="shared" si="16"/>
        <v>0</v>
      </c>
      <c r="Y31" t="str">
        <f t="shared" si="17"/>
        <v>0</v>
      </c>
      <c r="Z31" t="str">
        <f t="shared" si="18"/>
        <v>0</v>
      </c>
      <c r="AA31" t="str">
        <f t="shared" si="19"/>
        <v>0</v>
      </c>
      <c r="AB31" t="str">
        <f t="shared" si="20"/>
        <v>0</v>
      </c>
      <c r="AC31" t="str">
        <f t="shared" si="21"/>
        <v>0</v>
      </c>
      <c r="AD31" t="str">
        <f t="shared" si="22"/>
        <v>0</v>
      </c>
      <c r="AE31" t="str">
        <f t="shared" si="23"/>
        <v>0</v>
      </c>
      <c r="AF31" t="str">
        <f t="shared" si="24"/>
        <v>0</v>
      </c>
      <c r="AG31" t="str">
        <f t="shared" si="25"/>
        <v>0</v>
      </c>
      <c r="AH31" t="str">
        <f t="shared" si="26"/>
        <v>0</v>
      </c>
      <c r="AI31" t="str">
        <f t="shared" si="27"/>
        <v>0</v>
      </c>
      <c r="AJ31" t="str">
        <f t="shared" si="28"/>
        <v>0</v>
      </c>
      <c r="AK31" t="str">
        <f t="shared" si="29"/>
        <v>0</v>
      </c>
      <c r="AL31" t="str">
        <f t="shared" si="30"/>
        <v>0</v>
      </c>
      <c r="AM31" t="str">
        <f t="shared" si="31"/>
        <v>0</v>
      </c>
      <c r="AN31" t="str">
        <f t="shared" si="32"/>
        <v>0</v>
      </c>
      <c r="AO31" t="str">
        <f t="shared" si="33"/>
        <v>0</v>
      </c>
      <c r="AP31" t="str">
        <f t="shared" si="34"/>
        <v>0</v>
      </c>
      <c r="AQ31" t="str">
        <f t="shared" si="35"/>
        <v>0</v>
      </c>
      <c r="AR31" t="str">
        <f t="shared" si="36"/>
        <v>0</v>
      </c>
      <c r="AS31" t="str">
        <f t="shared" si="37"/>
        <v>0</v>
      </c>
      <c r="AT31" t="str">
        <f t="shared" si="38"/>
        <v>0</v>
      </c>
      <c r="AU31" t="str">
        <f t="shared" si="39"/>
        <v>0</v>
      </c>
      <c r="AV31" t="str">
        <f t="shared" si="40"/>
        <v>0</v>
      </c>
      <c r="AW31" t="str">
        <f t="shared" si="41"/>
        <v>0</v>
      </c>
      <c r="AX31" t="str">
        <f t="shared" si="42"/>
        <v>0</v>
      </c>
      <c r="AY31" t="str">
        <f t="shared" si="43"/>
        <v>0</v>
      </c>
    </row>
    <row r="32" ht="13.5" spans="1:51">
      <c r="A32" s="83"/>
      <c r="B32" s="83"/>
      <c r="C32" s="84"/>
      <c r="H32" t="str">
        <f t="shared" si="0"/>
        <v>0</v>
      </c>
      <c r="I32" t="str">
        <f t="shared" si="1"/>
        <v>0</v>
      </c>
      <c r="J32" t="str">
        <f t="shared" si="2"/>
        <v>0</v>
      </c>
      <c r="K32" t="str">
        <f t="shared" si="3"/>
        <v>0</v>
      </c>
      <c r="L32" t="str">
        <f t="shared" si="4"/>
        <v>0</v>
      </c>
      <c r="M32" t="str">
        <f t="shared" si="5"/>
        <v>0</v>
      </c>
      <c r="N32" t="str">
        <f t="shared" si="6"/>
        <v>0</v>
      </c>
      <c r="O32" t="str">
        <f t="shared" si="7"/>
        <v>0</v>
      </c>
      <c r="P32" t="str">
        <f t="shared" si="8"/>
        <v>0</v>
      </c>
      <c r="Q32" t="str">
        <f t="shared" si="9"/>
        <v>0</v>
      </c>
      <c r="R32" t="str">
        <f t="shared" si="10"/>
        <v>0</v>
      </c>
      <c r="S32" t="str">
        <f t="shared" si="11"/>
        <v>0</v>
      </c>
      <c r="T32" t="str">
        <f t="shared" si="12"/>
        <v>0</v>
      </c>
      <c r="U32" t="str">
        <f t="shared" si="13"/>
        <v>0</v>
      </c>
      <c r="V32" t="str">
        <f t="shared" si="14"/>
        <v>0</v>
      </c>
      <c r="W32" t="str">
        <f t="shared" si="15"/>
        <v>0</v>
      </c>
      <c r="X32" t="str">
        <f t="shared" si="16"/>
        <v>0</v>
      </c>
      <c r="Y32" t="str">
        <f t="shared" si="17"/>
        <v>0</v>
      </c>
      <c r="Z32" t="str">
        <f t="shared" si="18"/>
        <v>0</v>
      </c>
      <c r="AA32" t="str">
        <f t="shared" si="19"/>
        <v>0</v>
      </c>
      <c r="AB32" t="str">
        <f t="shared" si="20"/>
        <v>0</v>
      </c>
      <c r="AC32" t="str">
        <f t="shared" si="21"/>
        <v>0</v>
      </c>
      <c r="AD32" t="str">
        <f t="shared" si="22"/>
        <v>0</v>
      </c>
      <c r="AE32" t="str">
        <f t="shared" si="23"/>
        <v>0</v>
      </c>
      <c r="AF32" t="str">
        <f t="shared" si="24"/>
        <v>0</v>
      </c>
      <c r="AG32" t="str">
        <f t="shared" si="25"/>
        <v>0</v>
      </c>
      <c r="AH32" t="str">
        <f t="shared" si="26"/>
        <v>0</v>
      </c>
      <c r="AI32" t="str">
        <f t="shared" si="27"/>
        <v>0</v>
      </c>
      <c r="AJ32" t="str">
        <f t="shared" si="28"/>
        <v>0</v>
      </c>
      <c r="AK32" t="str">
        <f t="shared" si="29"/>
        <v>0</v>
      </c>
      <c r="AL32" t="str">
        <f t="shared" si="30"/>
        <v>0</v>
      </c>
      <c r="AM32" t="str">
        <f t="shared" si="31"/>
        <v>0</v>
      </c>
      <c r="AN32" t="str">
        <f t="shared" si="32"/>
        <v>0</v>
      </c>
      <c r="AO32" t="str">
        <f t="shared" si="33"/>
        <v>0</v>
      </c>
      <c r="AP32" t="str">
        <f t="shared" si="34"/>
        <v>0</v>
      </c>
      <c r="AQ32" t="str">
        <f t="shared" si="35"/>
        <v>0</v>
      </c>
      <c r="AR32" t="str">
        <f t="shared" si="36"/>
        <v>0</v>
      </c>
      <c r="AS32" t="str">
        <f t="shared" si="37"/>
        <v>0</v>
      </c>
      <c r="AT32" t="str">
        <f t="shared" si="38"/>
        <v>0</v>
      </c>
      <c r="AU32" t="str">
        <f t="shared" si="39"/>
        <v>0</v>
      </c>
      <c r="AV32" t="str">
        <f t="shared" si="40"/>
        <v>0</v>
      </c>
      <c r="AW32" t="str">
        <f t="shared" si="41"/>
        <v>0</v>
      </c>
      <c r="AX32" t="str">
        <f t="shared" si="42"/>
        <v>0</v>
      </c>
      <c r="AY32" t="str">
        <f t="shared" si="43"/>
        <v>0</v>
      </c>
    </row>
    <row r="33" ht="13.5" spans="1:51">
      <c r="A33" s="83"/>
      <c r="B33" s="83"/>
      <c r="C33" s="84"/>
      <c r="H33" t="str">
        <f t="shared" si="0"/>
        <v>0</v>
      </c>
      <c r="I33" t="str">
        <f t="shared" si="1"/>
        <v>0</v>
      </c>
      <c r="J33" t="str">
        <f t="shared" si="2"/>
        <v>0</v>
      </c>
      <c r="K33" t="str">
        <f t="shared" si="3"/>
        <v>0</v>
      </c>
      <c r="L33" t="str">
        <f t="shared" si="4"/>
        <v>0</v>
      </c>
      <c r="M33" t="str">
        <f t="shared" si="5"/>
        <v>0</v>
      </c>
      <c r="N33" t="str">
        <f t="shared" si="6"/>
        <v>0</v>
      </c>
      <c r="O33" t="str">
        <f t="shared" si="7"/>
        <v>0</v>
      </c>
      <c r="P33" t="str">
        <f t="shared" si="8"/>
        <v>0</v>
      </c>
      <c r="Q33" t="str">
        <f t="shared" si="9"/>
        <v>0</v>
      </c>
      <c r="R33" t="str">
        <f t="shared" si="10"/>
        <v>0</v>
      </c>
      <c r="S33" t="str">
        <f t="shared" si="11"/>
        <v>0</v>
      </c>
      <c r="T33" t="str">
        <f t="shared" si="12"/>
        <v>0</v>
      </c>
      <c r="U33" t="str">
        <f t="shared" si="13"/>
        <v>0</v>
      </c>
      <c r="V33" t="str">
        <f t="shared" si="14"/>
        <v>0</v>
      </c>
      <c r="W33" t="str">
        <f t="shared" si="15"/>
        <v>0</v>
      </c>
      <c r="X33" t="str">
        <f t="shared" si="16"/>
        <v>0</v>
      </c>
      <c r="Y33" t="str">
        <f t="shared" si="17"/>
        <v>0</v>
      </c>
      <c r="Z33" t="str">
        <f t="shared" si="18"/>
        <v>0</v>
      </c>
      <c r="AA33" t="str">
        <f t="shared" si="19"/>
        <v>0</v>
      </c>
      <c r="AB33" t="str">
        <f t="shared" si="20"/>
        <v>0</v>
      </c>
      <c r="AC33" t="str">
        <f t="shared" si="21"/>
        <v>0</v>
      </c>
      <c r="AD33" t="str">
        <f t="shared" si="22"/>
        <v>0</v>
      </c>
      <c r="AE33" t="str">
        <f t="shared" si="23"/>
        <v>0</v>
      </c>
      <c r="AF33" t="str">
        <f t="shared" si="24"/>
        <v>0</v>
      </c>
      <c r="AG33" t="str">
        <f t="shared" si="25"/>
        <v>0</v>
      </c>
      <c r="AH33" t="str">
        <f t="shared" si="26"/>
        <v>0</v>
      </c>
      <c r="AI33" t="str">
        <f t="shared" si="27"/>
        <v>0</v>
      </c>
      <c r="AJ33" t="str">
        <f t="shared" si="28"/>
        <v>0</v>
      </c>
      <c r="AK33" t="str">
        <f t="shared" si="29"/>
        <v>0</v>
      </c>
      <c r="AL33" t="str">
        <f t="shared" si="30"/>
        <v>0</v>
      </c>
      <c r="AM33" t="str">
        <f t="shared" si="31"/>
        <v>0</v>
      </c>
      <c r="AN33" t="str">
        <f t="shared" si="32"/>
        <v>0</v>
      </c>
      <c r="AO33" t="str">
        <f t="shared" si="33"/>
        <v>0</v>
      </c>
      <c r="AP33" t="str">
        <f t="shared" si="34"/>
        <v>0</v>
      </c>
      <c r="AQ33" t="str">
        <f t="shared" si="35"/>
        <v>0</v>
      </c>
      <c r="AR33" t="str">
        <f t="shared" si="36"/>
        <v>0</v>
      </c>
      <c r="AS33" t="str">
        <f t="shared" si="37"/>
        <v>0</v>
      </c>
      <c r="AT33" t="str">
        <f t="shared" si="38"/>
        <v>0</v>
      </c>
      <c r="AU33" t="str">
        <f t="shared" si="39"/>
        <v>0</v>
      </c>
      <c r="AV33" t="str">
        <f t="shared" si="40"/>
        <v>0</v>
      </c>
      <c r="AW33" t="str">
        <f t="shared" si="41"/>
        <v>0</v>
      </c>
      <c r="AX33" t="str">
        <f t="shared" si="42"/>
        <v>0</v>
      </c>
      <c r="AY33" t="str">
        <f t="shared" si="43"/>
        <v>0</v>
      </c>
    </row>
    <row r="34" ht="13.5" spans="1:51">
      <c r="A34" s="83"/>
      <c r="B34" s="83"/>
      <c r="C34" s="84"/>
      <c r="H34" t="str">
        <f t="shared" si="0"/>
        <v>0</v>
      </c>
      <c r="I34" t="str">
        <f t="shared" si="1"/>
        <v>0</v>
      </c>
      <c r="J34" t="str">
        <f t="shared" si="2"/>
        <v>0</v>
      </c>
      <c r="K34" t="str">
        <f t="shared" si="3"/>
        <v>0</v>
      </c>
      <c r="L34" t="str">
        <f t="shared" si="4"/>
        <v>0</v>
      </c>
      <c r="M34" t="str">
        <f t="shared" si="5"/>
        <v>0</v>
      </c>
      <c r="N34" t="str">
        <f t="shared" si="6"/>
        <v>0</v>
      </c>
      <c r="O34" t="str">
        <f t="shared" si="7"/>
        <v>0</v>
      </c>
      <c r="P34" t="str">
        <f t="shared" si="8"/>
        <v>0</v>
      </c>
      <c r="Q34" t="str">
        <f t="shared" si="9"/>
        <v>0</v>
      </c>
      <c r="R34" t="str">
        <f t="shared" si="10"/>
        <v>0</v>
      </c>
      <c r="S34" t="str">
        <f t="shared" si="11"/>
        <v>0</v>
      </c>
      <c r="T34" t="str">
        <f t="shared" si="12"/>
        <v>0</v>
      </c>
      <c r="U34" t="str">
        <f t="shared" si="13"/>
        <v>0</v>
      </c>
      <c r="V34" t="str">
        <f t="shared" si="14"/>
        <v>0</v>
      </c>
      <c r="W34" t="str">
        <f t="shared" si="15"/>
        <v>0</v>
      </c>
      <c r="X34" t="str">
        <f t="shared" si="16"/>
        <v>0</v>
      </c>
      <c r="Y34" t="str">
        <f t="shared" si="17"/>
        <v>0</v>
      </c>
      <c r="Z34" t="str">
        <f t="shared" si="18"/>
        <v>0</v>
      </c>
      <c r="AA34" t="str">
        <f t="shared" si="19"/>
        <v>0</v>
      </c>
      <c r="AB34" t="str">
        <f t="shared" si="20"/>
        <v>0</v>
      </c>
      <c r="AC34" t="str">
        <f t="shared" si="21"/>
        <v>0</v>
      </c>
      <c r="AD34" t="str">
        <f t="shared" si="22"/>
        <v>0</v>
      </c>
      <c r="AE34" t="str">
        <f t="shared" si="23"/>
        <v>0</v>
      </c>
      <c r="AF34" t="str">
        <f t="shared" si="24"/>
        <v>0</v>
      </c>
      <c r="AG34" t="str">
        <f t="shared" si="25"/>
        <v>0</v>
      </c>
      <c r="AH34" t="str">
        <f t="shared" si="26"/>
        <v>0</v>
      </c>
      <c r="AI34" t="str">
        <f t="shared" si="27"/>
        <v>0</v>
      </c>
      <c r="AJ34" t="str">
        <f t="shared" si="28"/>
        <v>0</v>
      </c>
      <c r="AK34" t="str">
        <f t="shared" si="29"/>
        <v>0</v>
      </c>
      <c r="AL34" t="str">
        <f t="shared" si="30"/>
        <v>0</v>
      </c>
      <c r="AM34" t="str">
        <f t="shared" si="31"/>
        <v>0</v>
      </c>
      <c r="AN34" t="str">
        <f t="shared" si="32"/>
        <v>0</v>
      </c>
      <c r="AO34" t="str">
        <f t="shared" si="33"/>
        <v>0</v>
      </c>
      <c r="AP34" t="str">
        <f t="shared" si="34"/>
        <v>0</v>
      </c>
      <c r="AQ34" t="str">
        <f t="shared" si="35"/>
        <v>0</v>
      </c>
      <c r="AR34" t="str">
        <f t="shared" si="36"/>
        <v>0</v>
      </c>
      <c r="AS34" t="str">
        <f t="shared" si="37"/>
        <v>0</v>
      </c>
      <c r="AT34" t="str">
        <f t="shared" si="38"/>
        <v>0</v>
      </c>
      <c r="AU34" t="str">
        <f t="shared" si="39"/>
        <v>0</v>
      </c>
      <c r="AV34" t="str">
        <f t="shared" si="40"/>
        <v>0</v>
      </c>
      <c r="AW34" t="str">
        <f t="shared" si="41"/>
        <v>0</v>
      </c>
      <c r="AX34" t="str">
        <f t="shared" si="42"/>
        <v>0</v>
      </c>
      <c r="AY34" t="str">
        <f t="shared" si="43"/>
        <v>0</v>
      </c>
    </row>
    <row r="35" ht="13.5" spans="1:51">
      <c r="A35" s="83"/>
      <c r="B35" s="83"/>
      <c r="C35" s="84"/>
      <c r="H35" t="str">
        <f t="shared" si="0"/>
        <v>0</v>
      </c>
      <c r="I35" t="str">
        <f t="shared" si="1"/>
        <v>0</v>
      </c>
      <c r="J35" t="str">
        <f t="shared" si="2"/>
        <v>0</v>
      </c>
      <c r="K35" t="str">
        <f t="shared" si="3"/>
        <v>0</v>
      </c>
      <c r="L35" t="str">
        <f t="shared" si="4"/>
        <v>0</v>
      </c>
      <c r="M35" t="str">
        <f t="shared" si="5"/>
        <v>0</v>
      </c>
      <c r="N35" t="str">
        <f t="shared" si="6"/>
        <v>0</v>
      </c>
      <c r="O35" t="str">
        <f t="shared" si="7"/>
        <v>0</v>
      </c>
      <c r="P35" t="str">
        <f t="shared" si="8"/>
        <v>0</v>
      </c>
      <c r="Q35" t="str">
        <f t="shared" si="9"/>
        <v>0</v>
      </c>
      <c r="R35" t="str">
        <f t="shared" si="10"/>
        <v>0</v>
      </c>
      <c r="S35" t="str">
        <f t="shared" si="11"/>
        <v>0</v>
      </c>
      <c r="T35" t="str">
        <f t="shared" si="12"/>
        <v>0</v>
      </c>
      <c r="U35" t="str">
        <f t="shared" si="13"/>
        <v>0</v>
      </c>
      <c r="V35" t="str">
        <f t="shared" si="14"/>
        <v>0</v>
      </c>
      <c r="W35" t="str">
        <f t="shared" si="15"/>
        <v>0</v>
      </c>
      <c r="X35" t="str">
        <f t="shared" si="16"/>
        <v>0</v>
      </c>
      <c r="Y35" t="str">
        <f t="shared" si="17"/>
        <v>0</v>
      </c>
      <c r="Z35" t="str">
        <f t="shared" si="18"/>
        <v>0</v>
      </c>
      <c r="AA35" t="str">
        <f t="shared" si="19"/>
        <v>0</v>
      </c>
      <c r="AB35" t="str">
        <f t="shared" si="20"/>
        <v>0</v>
      </c>
      <c r="AC35" t="str">
        <f t="shared" si="21"/>
        <v>0</v>
      </c>
      <c r="AD35" t="str">
        <f t="shared" si="22"/>
        <v>0</v>
      </c>
      <c r="AE35" t="str">
        <f t="shared" si="23"/>
        <v>0</v>
      </c>
      <c r="AF35" t="str">
        <f t="shared" si="24"/>
        <v>0</v>
      </c>
      <c r="AG35" t="str">
        <f t="shared" si="25"/>
        <v>0</v>
      </c>
      <c r="AH35" t="str">
        <f t="shared" si="26"/>
        <v>0</v>
      </c>
      <c r="AI35" t="str">
        <f t="shared" si="27"/>
        <v>0</v>
      </c>
      <c r="AJ35" t="str">
        <f t="shared" si="28"/>
        <v>0</v>
      </c>
      <c r="AK35" t="str">
        <f t="shared" si="29"/>
        <v>0</v>
      </c>
      <c r="AL35" t="str">
        <f t="shared" si="30"/>
        <v>0</v>
      </c>
      <c r="AM35" t="str">
        <f t="shared" si="31"/>
        <v>0</v>
      </c>
      <c r="AN35" t="str">
        <f t="shared" si="32"/>
        <v>0</v>
      </c>
      <c r="AO35" t="str">
        <f t="shared" si="33"/>
        <v>0</v>
      </c>
      <c r="AP35" t="str">
        <f t="shared" si="34"/>
        <v>0</v>
      </c>
      <c r="AQ35" t="str">
        <f t="shared" si="35"/>
        <v>0</v>
      </c>
      <c r="AR35" t="str">
        <f t="shared" si="36"/>
        <v>0</v>
      </c>
      <c r="AS35" t="str">
        <f t="shared" si="37"/>
        <v>0</v>
      </c>
      <c r="AT35" t="str">
        <f t="shared" si="38"/>
        <v>0</v>
      </c>
      <c r="AU35" t="str">
        <f t="shared" si="39"/>
        <v>0</v>
      </c>
      <c r="AV35" t="str">
        <f t="shared" si="40"/>
        <v>0</v>
      </c>
      <c r="AW35" t="str">
        <f t="shared" si="41"/>
        <v>0</v>
      </c>
      <c r="AX35" t="str">
        <f t="shared" si="42"/>
        <v>0</v>
      </c>
      <c r="AY35" t="str">
        <f t="shared" si="43"/>
        <v>0</v>
      </c>
    </row>
    <row r="36" ht="13.5" spans="1:51">
      <c r="A36" s="83"/>
      <c r="B36" s="83"/>
      <c r="C36" s="84"/>
      <c r="H36" t="str">
        <f t="shared" si="0"/>
        <v>0</v>
      </c>
      <c r="I36" t="str">
        <f t="shared" si="1"/>
        <v>0</v>
      </c>
      <c r="J36" t="str">
        <f t="shared" si="2"/>
        <v>0</v>
      </c>
      <c r="K36" t="str">
        <f t="shared" si="3"/>
        <v>0</v>
      </c>
      <c r="L36" t="str">
        <f t="shared" si="4"/>
        <v>0</v>
      </c>
      <c r="M36" t="str">
        <f t="shared" si="5"/>
        <v>0</v>
      </c>
      <c r="N36" t="str">
        <f t="shared" si="6"/>
        <v>0</v>
      </c>
      <c r="O36" t="str">
        <f t="shared" si="7"/>
        <v>0</v>
      </c>
      <c r="P36" t="str">
        <f t="shared" si="8"/>
        <v>0</v>
      </c>
      <c r="Q36" t="str">
        <f t="shared" si="9"/>
        <v>0</v>
      </c>
      <c r="R36" t="str">
        <f t="shared" si="10"/>
        <v>0</v>
      </c>
      <c r="S36" t="str">
        <f t="shared" si="11"/>
        <v>0</v>
      </c>
      <c r="T36" t="str">
        <f t="shared" si="12"/>
        <v>0</v>
      </c>
      <c r="U36" t="str">
        <f t="shared" si="13"/>
        <v>0</v>
      </c>
      <c r="V36" t="str">
        <f t="shared" si="14"/>
        <v>0</v>
      </c>
      <c r="W36" t="str">
        <f t="shared" si="15"/>
        <v>0</v>
      </c>
      <c r="X36" t="str">
        <f t="shared" si="16"/>
        <v>0</v>
      </c>
      <c r="Y36" t="str">
        <f t="shared" si="17"/>
        <v>0</v>
      </c>
      <c r="Z36" t="str">
        <f t="shared" si="18"/>
        <v>0</v>
      </c>
      <c r="AA36" t="str">
        <f t="shared" si="19"/>
        <v>0</v>
      </c>
      <c r="AB36" t="str">
        <f t="shared" si="20"/>
        <v>0</v>
      </c>
      <c r="AC36" t="str">
        <f t="shared" si="21"/>
        <v>0</v>
      </c>
      <c r="AD36" t="str">
        <f t="shared" si="22"/>
        <v>0</v>
      </c>
      <c r="AE36" t="str">
        <f t="shared" si="23"/>
        <v>0</v>
      </c>
      <c r="AF36" t="str">
        <f t="shared" si="24"/>
        <v>0</v>
      </c>
      <c r="AG36" t="str">
        <f t="shared" si="25"/>
        <v>0</v>
      </c>
      <c r="AH36" t="str">
        <f t="shared" si="26"/>
        <v>0</v>
      </c>
      <c r="AI36" t="str">
        <f t="shared" si="27"/>
        <v>0</v>
      </c>
      <c r="AJ36" t="str">
        <f t="shared" si="28"/>
        <v>0</v>
      </c>
      <c r="AK36" t="str">
        <f t="shared" si="29"/>
        <v>0</v>
      </c>
      <c r="AL36" t="str">
        <f t="shared" si="30"/>
        <v>0</v>
      </c>
      <c r="AM36" t="str">
        <f t="shared" si="31"/>
        <v>0</v>
      </c>
      <c r="AN36" t="str">
        <f t="shared" si="32"/>
        <v>0</v>
      </c>
      <c r="AO36" t="str">
        <f t="shared" si="33"/>
        <v>0</v>
      </c>
      <c r="AP36" t="str">
        <f t="shared" si="34"/>
        <v>0</v>
      </c>
      <c r="AQ36" t="str">
        <f t="shared" si="35"/>
        <v>0</v>
      </c>
      <c r="AR36" t="str">
        <f t="shared" si="36"/>
        <v>0</v>
      </c>
      <c r="AS36" t="str">
        <f t="shared" si="37"/>
        <v>0</v>
      </c>
      <c r="AT36" t="str">
        <f t="shared" si="38"/>
        <v>0</v>
      </c>
      <c r="AU36" t="str">
        <f t="shared" si="39"/>
        <v>0</v>
      </c>
      <c r="AV36" t="str">
        <f t="shared" si="40"/>
        <v>0</v>
      </c>
      <c r="AW36" t="str">
        <f t="shared" si="41"/>
        <v>0</v>
      </c>
      <c r="AX36" t="str">
        <f t="shared" si="42"/>
        <v>0</v>
      </c>
      <c r="AY36" t="str">
        <f t="shared" si="43"/>
        <v>0</v>
      </c>
    </row>
    <row r="37" ht="13.5" spans="1:51">
      <c r="A37" s="83"/>
      <c r="B37" s="83"/>
      <c r="C37" s="84"/>
      <c r="H37" t="str">
        <f t="shared" si="0"/>
        <v>0</v>
      </c>
      <c r="I37" t="str">
        <f t="shared" si="1"/>
        <v>0</v>
      </c>
      <c r="J37" t="str">
        <f t="shared" si="2"/>
        <v>0</v>
      </c>
      <c r="K37" t="str">
        <f t="shared" si="3"/>
        <v>0</v>
      </c>
      <c r="L37" t="str">
        <f t="shared" si="4"/>
        <v>0</v>
      </c>
      <c r="M37" t="str">
        <f t="shared" si="5"/>
        <v>0</v>
      </c>
      <c r="N37" t="str">
        <f t="shared" si="6"/>
        <v>0</v>
      </c>
      <c r="O37" t="str">
        <f t="shared" si="7"/>
        <v>0</v>
      </c>
      <c r="P37" t="str">
        <f t="shared" si="8"/>
        <v>0</v>
      </c>
      <c r="Q37" t="str">
        <f t="shared" si="9"/>
        <v>0</v>
      </c>
      <c r="R37" t="str">
        <f t="shared" si="10"/>
        <v>0</v>
      </c>
      <c r="S37" t="str">
        <f t="shared" si="11"/>
        <v>0</v>
      </c>
      <c r="T37" t="str">
        <f t="shared" si="12"/>
        <v>0</v>
      </c>
      <c r="U37" t="str">
        <f t="shared" si="13"/>
        <v>0</v>
      </c>
      <c r="V37" t="str">
        <f t="shared" si="14"/>
        <v>0</v>
      </c>
      <c r="W37" t="str">
        <f t="shared" si="15"/>
        <v>0</v>
      </c>
      <c r="X37" t="str">
        <f t="shared" si="16"/>
        <v>0</v>
      </c>
      <c r="Y37" t="str">
        <f t="shared" si="17"/>
        <v>0</v>
      </c>
      <c r="Z37" t="str">
        <f t="shared" si="18"/>
        <v>0</v>
      </c>
      <c r="AA37" t="str">
        <f t="shared" si="19"/>
        <v>0</v>
      </c>
      <c r="AB37" t="str">
        <f t="shared" si="20"/>
        <v>0</v>
      </c>
      <c r="AC37" t="str">
        <f t="shared" si="21"/>
        <v>0</v>
      </c>
      <c r="AD37" t="str">
        <f t="shared" si="22"/>
        <v>0</v>
      </c>
      <c r="AE37" t="str">
        <f t="shared" si="23"/>
        <v>0</v>
      </c>
      <c r="AF37" t="str">
        <f t="shared" si="24"/>
        <v>0</v>
      </c>
      <c r="AG37" t="str">
        <f t="shared" si="25"/>
        <v>0</v>
      </c>
      <c r="AH37" t="str">
        <f t="shared" si="26"/>
        <v>0</v>
      </c>
      <c r="AI37" t="str">
        <f t="shared" si="27"/>
        <v>0</v>
      </c>
      <c r="AJ37" t="str">
        <f t="shared" si="28"/>
        <v>0</v>
      </c>
      <c r="AK37" t="str">
        <f t="shared" si="29"/>
        <v>0</v>
      </c>
      <c r="AL37" t="str">
        <f t="shared" si="30"/>
        <v>0</v>
      </c>
      <c r="AM37" t="str">
        <f t="shared" si="31"/>
        <v>0</v>
      </c>
      <c r="AN37" t="str">
        <f t="shared" si="32"/>
        <v>0</v>
      </c>
      <c r="AO37" t="str">
        <f t="shared" si="33"/>
        <v>0</v>
      </c>
      <c r="AP37" t="str">
        <f t="shared" si="34"/>
        <v>0</v>
      </c>
      <c r="AQ37" t="str">
        <f t="shared" si="35"/>
        <v>0</v>
      </c>
      <c r="AR37" t="str">
        <f t="shared" si="36"/>
        <v>0</v>
      </c>
      <c r="AS37" t="str">
        <f t="shared" si="37"/>
        <v>0</v>
      </c>
      <c r="AT37" t="str">
        <f t="shared" si="38"/>
        <v>0</v>
      </c>
      <c r="AU37" t="str">
        <f t="shared" si="39"/>
        <v>0</v>
      </c>
      <c r="AV37" t="str">
        <f t="shared" si="40"/>
        <v>0</v>
      </c>
      <c r="AW37" t="str">
        <f t="shared" si="41"/>
        <v>0</v>
      </c>
      <c r="AX37" t="str">
        <f t="shared" si="42"/>
        <v>0</v>
      </c>
      <c r="AY37" t="str">
        <f t="shared" si="43"/>
        <v>0</v>
      </c>
    </row>
    <row r="38" ht="13.5" spans="1:51">
      <c r="A38" s="83"/>
      <c r="B38" s="83"/>
      <c r="C38" s="84"/>
      <c r="H38" t="str">
        <f t="shared" si="0"/>
        <v>0</v>
      </c>
      <c r="I38" t="str">
        <f t="shared" si="1"/>
        <v>0</v>
      </c>
      <c r="J38" t="str">
        <f t="shared" si="2"/>
        <v>0</v>
      </c>
      <c r="K38" t="str">
        <f t="shared" si="3"/>
        <v>0</v>
      </c>
      <c r="L38" t="str">
        <f t="shared" si="4"/>
        <v>0</v>
      </c>
      <c r="M38" t="str">
        <f t="shared" si="5"/>
        <v>0</v>
      </c>
      <c r="N38" t="str">
        <f t="shared" si="6"/>
        <v>0</v>
      </c>
      <c r="O38" t="str">
        <f t="shared" si="7"/>
        <v>0</v>
      </c>
      <c r="P38" t="str">
        <f t="shared" si="8"/>
        <v>0</v>
      </c>
      <c r="Q38" t="str">
        <f t="shared" si="9"/>
        <v>0</v>
      </c>
      <c r="R38" t="str">
        <f t="shared" si="10"/>
        <v>0</v>
      </c>
      <c r="S38" t="str">
        <f t="shared" si="11"/>
        <v>0</v>
      </c>
      <c r="T38" t="str">
        <f t="shared" si="12"/>
        <v>0</v>
      </c>
      <c r="U38" t="str">
        <f t="shared" si="13"/>
        <v>0</v>
      </c>
      <c r="V38" t="str">
        <f t="shared" si="14"/>
        <v>0</v>
      </c>
      <c r="W38" t="str">
        <f t="shared" si="15"/>
        <v>0</v>
      </c>
      <c r="X38" t="str">
        <f t="shared" si="16"/>
        <v>0</v>
      </c>
      <c r="Y38" t="str">
        <f t="shared" si="17"/>
        <v>0</v>
      </c>
      <c r="Z38" t="str">
        <f t="shared" si="18"/>
        <v>0</v>
      </c>
      <c r="AA38" t="str">
        <f t="shared" si="19"/>
        <v>0</v>
      </c>
      <c r="AB38" t="str">
        <f t="shared" si="20"/>
        <v>0</v>
      </c>
      <c r="AC38" t="str">
        <f t="shared" si="21"/>
        <v>0</v>
      </c>
      <c r="AD38" t="str">
        <f t="shared" si="22"/>
        <v>0</v>
      </c>
      <c r="AE38" t="str">
        <f t="shared" si="23"/>
        <v>0</v>
      </c>
      <c r="AF38" t="str">
        <f t="shared" si="24"/>
        <v>0</v>
      </c>
      <c r="AG38" t="str">
        <f t="shared" si="25"/>
        <v>0</v>
      </c>
      <c r="AH38" t="str">
        <f t="shared" si="26"/>
        <v>0</v>
      </c>
      <c r="AI38" t="str">
        <f t="shared" si="27"/>
        <v>0</v>
      </c>
      <c r="AJ38" t="str">
        <f t="shared" si="28"/>
        <v>0</v>
      </c>
      <c r="AK38" t="str">
        <f t="shared" si="29"/>
        <v>0</v>
      </c>
      <c r="AL38" t="str">
        <f t="shared" si="30"/>
        <v>0</v>
      </c>
      <c r="AM38" t="str">
        <f t="shared" si="31"/>
        <v>0</v>
      </c>
      <c r="AN38" t="str">
        <f t="shared" si="32"/>
        <v>0</v>
      </c>
      <c r="AO38" t="str">
        <f t="shared" si="33"/>
        <v>0</v>
      </c>
      <c r="AP38" t="str">
        <f t="shared" si="34"/>
        <v>0</v>
      </c>
      <c r="AQ38" t="str">
        <f t="shared" si="35"/>
        <v>0</v>
      </c>
      <c r="AR38" t="str">
        <f t="shared" si="36"/>
        <v>0</v>
      </c>
      <c r="AS38" t="str">
        <f t="shared" si="37"/>
        <v>0</v>
      </c>
      <c r="AT38" t="str">
        <f t="shared" si="38"/>
        <v>0</v>
      </c>
      <c r="AU38" t="str">
        <f t="shared" si="39"/>
        <v>0</v>
      </c>
      <c r="AV38" t="str">
        <f t="shared" si="40"/>
        <v>0</v>
      </c>
      <c r="AW38" t="str">
        <f t="shared" si="41"/>
        <v>0</v>
      </c>
      <c r="AX38" t="str">
        <f t="shared" si="42"/>
        <v>0</v>
      </c>
      <c r="AY38" t="str">
        <f t="shared" si="43"/>
        <v>0</v>
      </c>
    </row>
    <row r="39" ht="13.5" spans="1:51">
      <c r="A39" s="83"/>
      <c r="B39" s="83"/>
      <c r="C39" s="84"/>
      <c r="H39" t="str">
        <f t="shared" si="0"/>
        <v>0</v>
      </c>
      <c r="I39" t="str">
        <f t="shared" si="1"/>
        <v>0</v>
      </c>
      <c r="J39" t="str">
        <f t="shared" si="2"/>
        <v>0</v>
      </c>
      <c r="K39" t="str">
        <f t="shared" si="3"/>
        <v>0</v>
      </c>
      <c r="L39" t="str">
        <f t="shared" si="4"/>
        <v>0</v>
      </c>
      <c r="M39" t="str">
        <f t="shared" si="5"/>
        <v>0</v>
      </c>
      <c r="N39" t="str">
        <f t="shared" si="6"/>
        <v>0</v>
      </c>
      <c r="O39" t="str">
        <f t="shared" si="7"/>
        <v>0</v>
      </c>
      <c r="P39" t="str">
        <f t="shared" si="8"/>
        <v>0</v>
      </c>
      <c r="Q39" t="str">
        <f t="shared" si="9"/>
        <v>0</v>
      </c>
      <c r="R39" t="str">
        <f t="shared" si="10"/>
        <v>0</v>
      </c>
      <c r="S39" t="str">
        <f t="shared" si="11"/>
        <v>0</v>
      </c>
      <c r="T39" t="str">
        <f t="shared" si="12"/>
        <v>0</v>
      </c>
      <c r="U39" t="str">
        <f t="shared" si="13"/>
        <v>0</v>
      </c>
      <c r="V39" t="str">
        <f t="shared" si="14"/>
        <v>0</v>
      </c>
      <c r="W39" t="str">
        <f t="shared" si="15"/>
        <v>0</v>
      </c>
      <c r="X39" t="str">
        <f t="shared" si="16"/>
        <v>0</v>
      </c>
      <c r="Y39" t="str">
        <f t="shared" si="17"/>
        <v>0</v>
      </c>
      <c r="Z39" t="str">
        <f t="shared" si="18"/>
        <v>0</v>
      </c>
      <c r="AA39" t="str">
        <f t="shared" si="19"/>
        <v>0</v>
      </c>
      <c r="AB39" t="str">
        <f t="shared" si="20"/>
        <v>0</v>
      </c>
      <c r="AC39" t="str">
        <f t="shared" si="21"/>
        <v>0</v>
      </c>
      <c r="AD39" t="str">
        <f t="shared" si="22"/>
        <v>0</v>
      </c>
      <c r="AE39" t="str">
        <f t="shared" si="23"/>
        <v>0</v>
      </c>
      <c r="AF39" t="str">
        <f t="shared" si="24"/>
        <v>0</v>
      </c>
      <c r="AG39" t="str">
        <f t="shared" si="25"/>
        <v>0</v>
      </c>
      <c r="AH39" t="str">
        <f t="shared" si="26"/>
        <v>0</v>
      </c>
      <c r="AI39" t="str">
        <f t="shared" si="27"/>
        <v>0</v>
      </c>
      <c r="AJ39" t="str">
        <f t="shared" si="28"/>
        <v>0</v>
      </c>
      <c r="AK39" t="str">
        <f t="shared" si="29"/>
        <v>0</v>
      </c>
      <c r="AL39" t="str">
        <f t="shared" si="30"/>
        <v>0</v>
      </c>
      <c r="AM39" t="str">
        <f t="shared" si="31"/>
        <v>0</v>
      </c>
      <c r="AN39" t="str">
        <f t="shared" si="32"/>
        <v>0</v>
      </c>
      <c r="AO39" t="str">
        <f t="shared" si="33"/>
        <v>0</v>
      </c>
      <c r="AP39" t="str">
        <f t="shared" si="34"/>
        <v>0</v>
      </c>
      <c r="AQ39" t="str">
        <f t="shared" si="35"/>
        <v>0</v>
      </c>
      <c r="AR39" t="str">
        <f t="shared" si="36"/>
        <v>0</v>
      </c>
      <c r="AS39" t="str">
        <f t="shared" si="37"/>
        <v>0</v>
      </c>
      <c r="AT39" t="str">
        <f t="shared" si="38"/>
        <v>0</v>
      </c>
      <c r="AU39" t="str">
        <f t="shared" si="39"/>
        <v>0</v>
      </c>
      <c r="AV39" t="str">
        <f t="shared" si="40"/>
        <v>0</v>
      </c>
      <c r="AW39" t="str">
        <f t="shared" si="41"/>
        <v>0</v>
      </c>
      <c r="AX39" t="str">
        <f t="shared" si="42"/>
        <v>0</v>
      </c>
      <c r="AY39" t="str">
        <f t="shared" si="43"/>
        <v>0</v>
      </c>
    </row>
    <row r="40" ht="13.5" spans="1:51">
      <c r="A40" s="83"/>
      <c r="B40" s="83"/>
      <c r="C40" s="84"/>
      <c r="H40" t="str">
        <f t="shared" si="0"/>
        <v>0</v>
      </c>
      <c r="I40" t="str">
        <f t="shared" si="1"/>
        <v>0</v>
      </c>
      <c r="J40" t="str">
        <f t="shared" si="2"/>
        <v>0</v>
      </c>
      <c r="K40" t="str">
        <f t="shared" si="3"/>
        <v>0</v>
      </c>
      <c r="L40" t="str">
        <f t="shared" si="4"/>
        <v>0</v>
      </c>
      <c r="M40" t="str">
        <f t="shared" si="5"/>
        <v>0</v>
      </c>
      <c r="N40" t="str">
        <f t="shared" si="6"/>
        <v>0</v>
      </c>
      <c r="O40" t="str">
        <f t="shared" si="7"/>
        <v>0</v>
      </c>
      <c r="P40" t="str">
        <f t="shared" si="8"/>
        <v>0</v>
      </c>
      <c r="Q40" t="str">
        <f t="shared" si="9"/>
        <v>0</v>
      </c>
      <c r="R40" t="str">
        <f t="shared" si="10"/>
        <v>0</v>
      </c>
      <c r="S40" t="str">
        <f t="shared" si="11"/>
        <v>0</v>
      </c>
      <c r="T40" t="str">
        <f t="shared" si="12"/>
        <v>0</v>
      </c>
      <c r="U40" t="str">
        <f t="shared" si="13"/>
        <v>0</v>
      </c>
      <c r="V40" t="str">
        <f t="shared" si="14"/>
        <v>0</v>
      </c>
      <c r="W40" t="str">
        <f t="shared" si="15"/>
        <v>0</v>
      </c>
      <c r="X40" t="str">
        <f t="shared" si="16"/>
        <v>0</v>
      </c>
      <c r="Y40" t="str">
        <f t="shared" si="17"/>
        <v>0</v>
      </c>
      <c r="Z40" t="str">
        <f t="shared" si="18"/>
        <v>0</v>
      </c>
      <c r="AA40" t="str">
        <f t="shared" si="19"/>
        <v>0</v>
      </c>
      <c r="AB40" t="str">
        <f t="shared" si="20"/>
        <v>0</v>
      </c>
      <c r="AC40" t="str">
        <f t="shared" si="21"/>
        <v>0</v>
      </c>
      <c r="AD40" t="str">
        <f t="shared" si="22"/>
        <v>0</v>
      </c>
      <c r="AE40" t="str">
        <f t="shared" si="23"/>
        <v>0</v>
      </c>
      <c r="AF40" t="str">
        <f t="shared" si="24"/>
        <v>0</v>
      </c>
      <c r="AG40" t="str">
        <f t="shared" si="25"/>
        <v>0</v>
      </c>
      <c r="AH40" t="str">
        <f t="shared" si="26"/>
        <v>0</v>
      </c>
      <c r="AI40" t="str">
        <f t="shared" si="27"/>
        <v>0</v>
      </c>
      <c r="AJ40" t="str">
        <f t="shared" si="28"/>
        <v>0</v>
      </c>
      <c r="AK40" t="str">
        <f t="shared" si="29"/>
        <v>0</v>
      </c>
      <c r="AL40" t="str">
        <f t="shared" si="30"/>
        <v>0</v>
      </c>
      <c r="AM40" t="str">
        <f t="shared" si="31"/>
        <v>0</v>
      </c>
      <c r="AN40" t="str">
        <f t="shared" si="32"/>
        <v>0</v>
      </c>
      <c r="AO40" t="str">
        <f t="shared" si="33"/>
        <v>0</v>
      </c>
      <c r="AP40" t="str">
        <f t="shared" si="34"/>
        <v>0</v>
      </c>
      <c r="AQ40" t="str">
        <f t="shared" si="35"/>
        <v>0</v>
      </c>
      <c r="AR40" t="str">
        <f t="shared" si="36"/>
        <v>0</v>
      </c>
      <c r="AS40" t="str">
        <f t="shared" si="37"/>
        <v>0</v>
      </c>
      <c r="AT40" t="str">
        <f t="shared" si="38"/>
        <v>0</v>
      </c>
      <c r="AU40" t="str">
        <f t="shared" si="39"/>
        <v>0</v>
      </c>
      <c r="AV40" t="str">
        <f t="shared" si="40"/>
        <v>0</v>
      </c>
      <c r="AW40" t="str">
        <f t="shared" si="41"/>
        <v>0</v>
      </c>
      <c r="AX40" t="str">
        <f t="shared" si="42"/>
        <v>0</v>
      </c>
      <c r="AY40" t="str">
        <f t="shared" si="43"/>
        <v>0</v>
      </c>
    </row>
    <row r="41" ht="13.5" spans="1:51">
      <c r="A41" s="83"/>
      <c r="B41" s="83"/>
      <c r="C41" s="84"/>
      <c r="H41" t="str">
        <f t="shared" si="0"/>
        <v>0</v>
      </c>
      <c r="I41" t="str">
        <f t="shared" si="1"/>
        <v>0</v>
      </c>
      <c r="J41" t="str">
        <f t="shared" si="2"/>
        <v>0</v>
      </c>
      <c r="K41" t="str">
        <f t="shared" si="3"/>
        <v>0</v>
      </c>
      <c r="L41" t="str">
        <f t="shared" si="4"/>
        <v>0</v>
      </c>
      <c r="M41" t="str">
        <f t="shared" si="5"/>
        <v>0</v>
      </c>
      <c r="N41" t="str">
        <f t="shared" si="6"/>
        <v>0</v>
      </c>
      <c r="O41" t="str">
        <f t="shared" si="7"/>
        <v>0</v>
      </c>
      <c r="P41" t="str">
        <f t="shared" si="8"/>
        <v>0</v>
      </c>
      <c r="Q41" t="str">
        <f t="shared" si="9"/>
        <v>0</v>
      </c>
      <c r="R41" t="str">
        <f t="shared" si="10"/>
        <v>0</v>
      </c>
      <c r="S41" t="str">
        <f t="shared" si="11"/>
        <v>0</v>
      </c>
      <c r="T41" t="str">
        <f t="shared" si="12"/>
        <v>0</v>
      </c>
      <c r="U41" t="str">
        <f t="shared" si="13"/>
        <v>0</v>
      </c>
      <c r="V41" t="str">
        <f t="shared" si="14"/>
        <v>0</v>
      </c>
      <c r="W41" t="str">
        <f t="shared" si="15"/>
        <v>0</v>
      </c>
      <c r="X41" t="str">
        <f t="shared" si="16"/>
        <v>0</v>
      </c>
      <c r="Y41" t="str">
        <f t="shared" si="17"/>
        <v>0</v>
      </c>
      <c r="Z41" t="str">
        <f t="shared" si="18"/>
        <v>0</v>
      </c>
      <c r="AA41" t="str">
        <f t="shared" si="19"/>
        <v>0</v>
      </c>
      <c r="AB41" t="str">
        <f t="shared" si="20"/>
        <v>0</v>
      </c>
      <c r="AC41" t="str">
        <f t="shared" si="21"/>
        <v>0</v>
      </c>
      <c r="AD41" t="str">
        <f t="shared" si="22"/>
        <v>0</v>
      </c>
      <c r="AE41" t="str">
        <f t="shared" si="23"/>
        <v>0</v>
      </c>
      <c r="AF41" t="str">
        <f t="shared" si="24"/>
        <v>0</v>
      </c>
      <c r="AG41" t="str">
        <f t="shared" si="25"/>
        <v>0</v>
      </c>
      <c r="AH41" t="str">
        <f t="shared" si="26"/>
        <v>0</v>
      </c>
      <c r="AI41" t="str">
        <f t="shared" si="27"/>
        <v>0</v>
      </c>
      <c r="AJ41" t="str">
        <f t="shared" si="28"/>
        <v>0</v>
      </c>
      <c r="AK41" t="str">
        <f t="shared" si="29"/>
        <v>0</v>
      </c>
      <c r="AL41" t="str">
        <f t="shared" si="30"/>
        <v>0</v>
      </c>
      <c r="AM41" t="str">
        <f t="shared" si="31"/>
        <v>0</v>
      </c>
      <c r="AN41" t="str">
        <f t="shared" si="32"/>
        <v>0</v>
      </c>
      <c r="AO41" t="str">
        <f t="shared" si="33"/>
        <v>0</v>
      </c>
      <c r="AP41" t="str">
        <f t="shared" si="34"/>
        <v>0</v>
      </c>
      <c r="AQ41" t="str">
        <f t="shared" si="35"/>
        <v>0</v>
      </c>
      <c r="AR41" t="str">
        <f t="shared" si="36"/>
        <v>0</v>
      </c>
      <c r="AS41" t="str">
        <f t="shared" si="37"/>
        <v>0</v>
      </c>
      <c r="AT41" t="str">
        <f t="shared" si="38"/>
        <v>0</v>
      </c>
      <c r="AU41" t="str">
        <f t="shared" si="39"/>
        <v>0</v>
      </c>
      <c r="AV41" t="str">
        <f t="shared" si="40"/>
        <v>0</v>
      </c>
      <c r="AW41" t="str">
        <f t="shared" si="41"/>
        <v>0</v>
      </c>
      <c r="AX41" t="str">
        <f t="shared" si="42"/>
        <v>0</v>
      </c>
      <c r="AY41" t="str">
        <f t="shared" si="43"/>
        <v>0</v>
      </c>
    </row>
    <row r="42" ht="13.5" spans="1:51">
      <c r="A42" s="83"/>
      <c r="B42" s="83"/>
      <c r="C42" s="84"/>
      <c r="H42" t="str">
        <f t="shared" si="0"/>
        <v>0</v>
      </c>
      <c r="I42" t="str">
        <f t="shared" si="1"/>
        <v>0</v>
      </c>
      <c r="J42" t="str">
        <f t="shared" si="2"/>
        <v>0</v>
      </c>
      <c r="K42" t="str">
        <f t="shared" si="3"/>
        <v>0</v>
      </c>
      <c r="L42" t="str">
        <f t="shared" si="4"/>
        <v>0</v>
      </c>
      <c r="M42" t="str">
        <f t="shared" si="5"/>
        <v>0</v>
      </c>
      <c r="N42" t="str">
        <f t="shared" si="6"/>
        <v>0</v>
      </c>
      <c r="O42" t="str">
        <f t="shared" si="7"/>
        <v>0</v>
      </c>
      <c r="P42" t="str">
        <f t="shared" si="8"/>
        <v>0</v>
      </c>
      <c r="Q42" t="str">
        <f t="shared" si="9"/>
        <v>0</v>
      </c>
      <c r="R42" t="str">
        <f t="shared" si="10"/>
        <v>0</v>
      </c>
      <c r="S42" t="str">
        <f t="shared" si="11"/>
        <v>0</v>
      </c>
      <c r="T42" t="str">
        <f t="shared" si="12"/>
        <v>0</v>
      </c>
      <c r="U42" t="str">
        <f t="shared" si="13"/>
        <v>0</v>
      </c>
      <c r="V42" t="str">
        <f t="shared" si="14"/>
        <v>0</v>
      </c>
      <c r="W42" t="str">
        <f t="shared" si="15"/>
        <v>0</v>
      </c>
      <c r="X42" t="str">
        <f t="shared" si="16"/>
        <v>0</v>
      </c>
      <c r="Y42" t="str">
        <f t="shared" si="17"/>
        <v>0</v>
      </c>
      <c r="Z42" t="str">
        <f t="shared" si="18"/>
        <v>0</v>
      </c>
      <c r="AA42" t="str">
        <f t="shared" si="19"/>
        <v>0</v>
      </c>
      <c r="AB42" t="str">
        <f t="shared" si="20"/>
        <v>0</v>
      </c>
      <c r="AC42" t="str">
        <f t="shared" si="21"/>
        <v>0</v>
      </c>
      <c r="AD42" t="str">
        <f t="shared" si="22"/>
        <v>0</v>
      </c>
      <c r="AE42" t="str">
        <f t="shared" si="23"/>
        <v>0</v>
      </c>
      <c r="AF42" t="str">
        <f t="shared" si="24"/>
        <v>0</v>
      </c>
      <c r="AG42" t="str">
        <f t="shared" si="25"/>
        <v>0</v>
      </c>
      <c r="AH42" t="str">
        <f t="shared" si="26"/>
        <v>0</v>
      </c>
      <c r="AI42" t="str">
        <f t="shared" si="27"/>
        <v>0</v>
      </c>
      <c r="AJ42" t="str">
        <f t="shared" si="28"/>
        <v>0</v>
      </c>
      <c r="AK42" t="str">
        <f t="shared" si="29"/>
        <v>0</v>
      </c>
      <c r="AL42" t="str">
        <f t="shared" si="30"/>
        <v>0</v>
      </c>
      <c r="AM42" t="str">
        <f t="shared" si="31"/>
        <v>0</v>
      </c>
      <c r="AN42" t="str">
        <f t="shared" si="32"/>
        <v>0</v>
      </c>
      <c r="AO42" t="str">
        <f t="shared" si="33"/>
        <v>0</v>
      </c>
      <c r="AP42" t="str">
        <f t="shared" si="34"/>
        <v>0</v>
      </c>
      <c r="AQ42" t="str">
        <f t="shared" si="35"/>
        <v>0</v>
      </c>
      <c r="AR42" t="str">
        <f t="shared" si="36"/>
        <v>0</v>
      </c>
      <c r="AS42" t="str">
        <f t="shared" si="37"/>
        <v>0</v>
      </c>
      <c r="AT42" t="str">
        <f t="shared" si="38"/>
        <v>0</v>
      </c>
      <c r="AU42" t="str">
        <f t="shared" si="39"/>
        <v>0</v>
      </c>
      <c r="AV42" t="str">
        <f t="shared" si="40"/>
        <v>0</v>
      </c>
      <c r="AW42" t="str">
        <f t="shared" si="41"/>
        <v>0</v>
      </c>
      <c r="AX42" t="str">
        <f t="shared" si="42"/>
        <v>0</v>
      </c>
      <c r="AY42" t="str">
        <f t="shared" si="43"/>
        <v>0</v>
      </c>
    </row>
    <row r="43" ht="13.5" spans="1:51">
      <c r="A43" s="83"/>
      <c r="B43" s="83"/>
      <c r="C43" s="84"/>
      <c r="H43" t="str">
        <f t="shared" si="0"/>
        <v>0</v>
      </c>
      <c r="I43" t="str">
        <f t="shared" si="1"/>
        <v>0</v>
      </c>
      <c r="J43" t="str">
        <f t="shared" si="2"/>
        <v>0</v>
      </c>
      <c r="K43" t="str">
        <f t="shared" si="3"/>
        <v>0</v>
      </c>
      <c r="L43" t="str">
        <f t="shared" si="4"/>
        <v>0</v>
      </c>
      <c r="M43" t="str">
        <f t="shared" si="5"/>
        <v>0</v>
      </c>
      <c r="N43" t="str">
        <f t="shared" si="6"/>
        <v>0</v>
      </c>
      <c r="O43" t="str">
        <f t="shared" si="7"/>
        <v>0</v>
      </c>
      <c r="P43" t="str">
        <f t="shared" si="8"/>
        <v>0</v>
      </c>
      <c r="Q43" t="str">
        <f t="shared" si="9"/>
        <v>0</v>
      </c>
      <c r="R43" t="str">
        <f t="shared" si="10"/>
        <v>0</v>
      </c>
      <c r="S43" t="str">
        <f t="shared" si="11"/>
        <v>0</v>
      </c>
      <c r="T43" t="str">
        <f t="shared" si="12"/>
        <v>0</v>
      </c>
      <c r="U43" t="str">
        <f t="shared" si="13"/>
        <v>0</v>
      </c>
      <c r="V43" t="str">
        <f t="shared" si="14"/>
        <v>0</v>
      </c>
      <c r="W43" t="str">
        <f t="shared" si="15"/>
        <v>0</v>
      </c>
      <c r="X43" t="str">
        <f t="shared" si="16"/>
        <v>0</v>
      </c>
      <c r="Y43" t="str">
        <f t="shared" si="17"/>
        <v>0</v>
      </c>
      <c r="Z43" t="str">
        <f t="shared" si="18"/>
        <v>0</v>
      </c>
      <c r="AA43" t="str">
        <f t="shared" si="19"/>
        <v>0</v>
      </c>
      <c r="AB43" t="str">
        <f t="shared" si="20"/>
        <v>0</v>
      </c>
      <c r="AC43" t="str">
        <f t="shared" si="21"/>
        <v>0</v>
      </c>
      <c r="AD43" t="str">
        <f t="shared" si="22"/>
        <v>0</v>
      </c>
      <c r="AE43" t="str">
        <f t="shared" si="23"/>
        <v>0</v>
      </c>
      <c r="AF43" t="str">
        <f t="shared" si="24"/>
        <v>0</v>
      </c>
      <c r="AG43" t="str">
        <f t="shared" si="25"/>
        <v>0</v>
      </c>
      <c r="AH43" t="str">
        <f t="shared" si="26"/>
        <v>0</v>
      </c>
      <c r="AI43" t="str">
        <f t="shared" si="27"/>
        <v>0</v>
      </c>
      <c r="AJ43" t="str">
        <f t="shared" si="28"/>
        <v>0</v>
      </c>
      <c r="AK43" t="str">
        <f t="shared" si="29"/>
        <v>0</v>
      </c>
      <c r="AL43" t="str">
        <f t="shared" si="30"/>
        <v>0</v>
      </c>
      <c r="AM43" t="str">
        <f t="shared" si="31"/>
        <v>0</v>
      </c>
      <c r="AN43" t="str">
        <f t="shared" si="32"/>
        <v>0</v>
      </c>
      <c r="AO43" t="str">
        <f t="shared" si="33"/>
        <v>0</v>
      </c>
      <c r="AP43" t="str">
        <f t="shared" si="34"/>
        <v>0</v>
      </c>
      <c r="AQ43" t="str">
        <f t="shared" si="35"/>
        <v>0</v>
      </c>
      <c r="AR43" t="str">
        <f t="shared" si="36"/>
        <v>0</v>
      </c>
      <c r="AS43" t="str">
        <f t="shared" si="37"/>
        <v>0</v>
      </c>
      <c r="AT43" t="str">
        <f t="shared" si="38"/>
        <v>0</v>
      </c>
      <c r="AU43" t="str">
        <f t="shared" si="39"/>
        <v>0</v>
      </c>
      <c r="AV43" t="str">
        <f t="shared" si="40"/>
        <v>0</v>
      </c>
      <c r="AW43" t="str">
        <f t="shared" si="41"/>
        <v>0</v>
      </c>
      <c r="AX43" t="str">
        <f t="shared" si="42"/>
        <v>0</v>
      </c>
      <c r="AY43" t="str">
        <f t="shared" si="43"/>
        <v>0</v>
      </c>
    </row>
    <row r="44" ht="13.5" spans="1:51">
      <c r="A44" s="83"/>
      <c r="B44" s="83"/>
      <c r="C44" s="84"/>
      <c r="H44" t="str">
        <f t="shared" si="0"/>
        <v>0</v>
      </c>
      <c r="I44" t="str">
        <f t="shared" si="1"/>
        <v>0</v>
      </c>
      <c r="J44" t="str">
        <f t="shared" si="2"/>
        <v>0</v>
      </c>
      <c r="K44" t="str">
        <f t="shared" si="3"/>
        <v>0</v>
      </c>
      <c r="L44" t="str">
        <f t="shared" si="4"/>
        <v>0</v>
      </c>
      <c r="M44" t="str">
        <f t="shared" si="5"/>
        <v>0</v>
      </c>
      <c r="N44" t="str">
        <f t="shared" si="6"/>
        <v>0</v>
      </c>
      <c r="O44" t="str">
        <f t="shared" si="7"/>
        <v>0</v>
      </c>
      <c r="P44" t="str">
        <f t="shared" si="8"/>
        <v>0</v>
      </c>
      <c r="Q44" t="str">
        <f t="shared" si="9"/>
        <v>0</v>
      </c>
      <c r="R44" t="str">
        <f t="shared" si="10"/>
        <v>0</v>
      </c>
      <c r="S44" t="str">
        <f t="shared" si="11"/>
        <v>0</v>
      </c>
      <c r="T44" t="str">
        <f t="shared" si="12"/>
        <v>0</v>
      </c>
      <c r="U44" t="str">
        <f t="shared" si="13"/>
        <v>0</v>
      </c>
      <c r="V44" t="str">
        <f t="shared" si="14"/>
        <v>0</v>
      </c>
      <c r="W44" t="str">
        <f t="shared" si="15"/>
        <v>0</v>
      </c>
      <c r="X44" t="str">
        <f t="shared" si="16"/>
        <v>0</v>
      </c>
      <c r="Y44" t="str">
        <f t="shared" si="17"/>
        <v>0</v>
      </c>
      <c r="Z44" t="str">
        <f t="shared" si="18"/>
        <v>0</v>
      </c>
      <c r="AA44" t="str">
        <f t="shared" si="19"/>
        <v>0</v>
      </c>
      <c r="AB44" t="str">
        <f t="shared" si="20"/>
        <v>0</v>
      </c>
      <c r="AC44" t="str">
        <f t="shared" si="21"/>
        <v>0</v>
      </c>
      <c r="AD44" t="str">
        <f t="shared" si="22"/>
        <v>0</v>
      </c>
      <c r="AE44" t="str">
        <f t="shared" si="23"/>
        <v>0</v>
      </c>
      <c r="AF44" t="str">
        <f t="shared" si="24"/>
        <v>0</v>
      </c>
      <c r="AG44" t="str">
        <f t="shared" si="25"/>
        <v>0</v>
      </c>
      <c r="AH44" t="str">
        <f t="shared" si="26"/>
        <v>0</v>
      </c>
      <c r="AI44" t="str">
        <f t="shared" si="27"/>
        <v>0</v>
      </c>
      <c r="AJ44" t="str">
        <f t="shared" si="28"/>
        <v>0</v>
      </c>
      <c r="AK44" t="str">
        <f t="shared" si="29"/>
        <v>0</v>
      </c>
      <c r="AL44" t="str">
        <f t="shared" si="30"/>
        <v>0</v>
      </c>
      <c r="AM44" t="str">
        <f t="shared" si="31"/>
        <v>0</v>
      </c>
      <c r="AN44" t="str">
        <f t="shared" si="32"/>
        <v>0</v>
      </c>
      <c r="AO44" t="str">
        <f t="shared" si="33"/>
        <v>0</v>
      </c>
      <c r="AP44" t="str">
        <f t="shared" si="34"/>
        <v>0</v>
      </c>
      <c r="AQ44" t="str">
        <f t="shared" si="35"/>
        <v>0</v>
      </c>
      <c r="AR44" t="str">
        <f t="shared" si="36"/>
        <v>0</v>
      </c>
      <c r="AS44" t="str">
        <f t="shared" si="37"/>
        <v>0</v>
      </c>
      <c r="AT44" t="str">
        <f t="shared" si="38"/>
        <v>0</v>
      </c>
      <c r="AU44" t="str">
        <f t="shared" si="39"/>
        <v>0</v>
      </c>
      <c r="AV44" t="str">
        <f t="shared" si="40"/>
        <v>0</v>
      </c>
      <c r="AW44" t="str">
        <f t="shared" si="41"/>
        <v>0</v>
      </c>
      <c r="AX44" t="str">
        <f t="shared" si="42"/>
        <v>0</v>
      </c>
      <c r="AY44" t="str">
        <f t="shared" si="43"/>
        <v>0</v>
      </c>
    </row>
    <row r="45" ht="13.5" spans="1:51">
      <c r="A45" s="83"/>
      <c r="B45" s="83"/>
      <c r="C45" s="84"/>
      <c r="H45" t="str">
        <f t="shared" si="0"/>
        <v>0</v>
      </c>
      <c r="I45" t="str">
        <f t="shared" si="1"/>
        <v>0</v>
      </c>
      <c r="J45" t="str">
        <f t="shared" si="2"/>
        <v>0</v>
      </c>
      <c r="K45" t="str">
        <f t="shared" si="3"/>
        <v>0</v>
      </c>
      <c r="L45" t="str">
        <f t="shared" si="4"/>
        <v>0</v>
      </c>
      <c r="M45" t="str">
        <f t="shared" si="5"/>
        <v>0</v>
      </c>
      <c r="N45" t="str">
        <f t="shared" si="6"/>
        <v>0</v>
      </c>
      <c r="O45" t="str">
        <f t="shared" si="7"/>
        <v>0</v>
      </c>
      <c r="P45" t="str">
        <f t="shared" si="8"/>
        <v>0</v>
      </c>
      <c r="Q45" t="str">
        <f t="shared" si="9"/>
        <v>0</v>
      </c>
      <c r="R45" t="str">
        <f t="shared" si="10"/>
        <v>0</v>
      </c>
      <c r="S45" t="str">
        <f t="shared" si="11"/>
        <v>0</v>
      </c>
      <c r="T45" t="str">
        <f t="shared" si="12"/>
        <v>0</v>
      </c>
      <c r="U45" t="str">
        <f t="shared" si="13"/>
        <v>0</v>
      </c>
      <c r="V45" t="str">
        <f t="shared" si="14"/>
        <v>0</v>
      </c>
      <c r="W45" t="str">
        <f t="shared" si="15"/>
        <v>0</v>
      </c>
      <c r="X45" t="str">
        <f t="shared" si="16"/>
        <v>0</v>
      </c>
      <c r="Y45" t="str">
        <f t="shared" si="17"/>
        <v>0</v>
      </c>
      <c r="Z45" t="str">
        <f t="shared" si="18"/>
        <v>0</v>
      </c>
      <c r="AA45" t="str">
        <f t="shared" si="19"/>
        <v>0</v>
      </c>
      <c r="AB45" t="str">
        <f t="shared" si="20"/>
        <v>0</v>
      </c>
      <c r="AC45" t="str">
        <f t="shared" si="21"/>
        <v>0</v>
      </c>
      <c r="AD45" t="str">
        <f t="shared" si="22"/>
        <v>0</v>
      </c>
      <c r="AE45" t="str">
        <f t="shared" si="23"/>
        <v>0</v>
      </c>
      <c r="AF45" t="str">
        <f t="shared" si="24"/>
        <v>0</v>
      </c>
      <c r="AG45" t="str">
        <f t="shared" si="25"/>
        <v>0</v>
      </c>
      <c r="AH45" t="str">
        <f t="shared" si="26"/>
        <v>0</v>
      </c>
      <c r="AI45" t="str">
        <f t="shared" si="27"/>
        <v>0</v>
      </c>
      <c r="AJ45" t="str">
        <f t="shared" si="28"/>
        <v>0</v>
      </c>
      <c r="AK45" t="str">
        <f t="shared" si="29"/>
        <v>0</v>
      </c>
      <c r="AL45" t="str">
        <f t="shared" si="30"/>
        <v>0</v>
      </c>
      <c r="AM45" t="str">
        <f t="shared" si="31"/>
        <v>0</v>
      </c>
      <c r="AN45" t="str">
        <f t="shared" si="32"/>
        <v>0</v>
      </c>
      <c r="AO45" t="str">
        <f t="shared" si="33"/>
        <v>0</v>
      </c>
      <c r="AP45" t="str">
        <f t="shared" si="34"/>
        <v>0</v>
      </c>
      <c r="AQ45" t="str">
        <f t="shared" si="35"/>
        <v>0</v>
      </c>
      <c r="AR45" t="str">
        <f t="shared" si="36"/>
        <v>0</v>
      </c>
      <c r="AS45" t="str">
        <f t="shared" si="37"/>
        <v>0</v>
      </c>
      <c r="AT45" t="str">
        <f t="shared" si="38"/>
        <v>0</v>
      </c>
      <c r="AU45" t="str">
        <f t="shared" si="39"/>
        <v>0</v>
      </c>
      <c r="AV45" t="str">
        <f t="shared" si="40"/>
        <v>0</v>
      </c>
      <c r="AW45" t="str">
        <f t="shared" si="41"/>
        <v>0</v>
      </c>
      <c r="AX45" t="str">
        <f t="shared" si="42"/>
        <v>0</v>
      </c>
      <c r="AY45" t="str">
        <f t="shared" si="43"/>
        <v>0</v>
      </c>
    </row>
    <row r="46" ht="13.5" spans="1:51">
      <c r="A46" s="83"/>
      <c r="B46" s="83"/>
      <c r="C46" s="84"/>
      <c r="H46" t="str">
        <f t="shared" si="0"/>
        <v>0</v>
      </c>
      <c r="I46" t="str">
        <f t="shared" si="1"/>
        <v>0</v>
      </c>
      <c r="J46" t="str">
        <f t="shared" si="2"/>
        <v>0</v>
      </c>
      <c r="K46" t="str">
        <f t="shared" si="3"/>
        <v>0</v>
      </c>
      <c r="L46" t="str">
        <f t="shared" si="4"/>
        <v>0</v>
      </c>
      <c r="M46" t="str">
        <f t="shared" si="5"/>
        <v>0</v>
      </c>
      <c r="N46" t="str">
        <f t="shared" si="6"/>
        <v>0</v>
      </c>
      <c r="O46" t="str">
        <f t="shared" si="7"/>
        <v>0</v>
      </c>
      <c r="P46" t="str">
        <f t="shared" si="8"/>
        <v>0</v>
      </c>
      <c r="Q46" t="str">
        <f t="shared" si="9"/>
        <v>0</v>
      </c>
      <c r="R46" t="str">
        <f t="shared" si="10"/>
        <v>0</v>
      </c>
      <c r="S46" t="str">
        <f t="shared" si="11"/>
        <v>0</v>
      </c>
      <c r="T46" t="str">
        <f t="shared" si="12"/>
        <v>0</v>
      </c>
      <c r="U46" t="str">
        <f t="shared" si="13"/>
        <v>0</v>
      </c>
      <c r="V46" t="str">
        <f t="shared" si="14"/>
        <v>0</v>
      </c>
      <c r="W46" t="str">
        <f t="shared" si="15"/>
        <v>0</v>
      </c>
      <c r="X46" t="str">
        <f t="shared" si="16"/>
        <v>0</v>
      </c>
      <c r="Y46" t="str">
        <f t="shared" si="17"/>
        <v>0</v>
      </c>
      <c r="Z46" t="str">
        <f t="shared" si="18"/>
        <v>0</v>
      </c>
      <c r="AA46" t="str">
        <f t="shared" si="19"/>
        <v>0</v>
      </c>
      <c r="AB46" t="str">
        <f t="shared" si="20"/>
        <v>0</v>
      </c>
      <c r="AC46" t="str">
        <f t="shared" si="21"/>
        <v>0</v>
      </c>
      <c r="AD46" t="str">
        <f t="shared" si="22"/>
        <v>0</v>
      </c>
      <c r="AE46" t="str">
        <f t="shared" si="23"/>
        <v>0</v>
      </c>
      <c r="AF46" t="str">
        <f t="shared" si="24"/>
        <v>0</v>
      </c>
      <c r="AG46" t="str">
        <f t="shared" si="25"/>
        <v>0</v>
      </c>
      <c r="AH46" t="str">
        <f t="shared" si="26"/>
        <v>0</v>
      </c>
      <c r="AI46" t="str">
        <f t="shared" si="27"/>
        <v>0</v>
      </c>
      <c r="AJ46" t="str">
        <f t="shared" si="28"/>
        <v>0</v>
      </c>
      <c r="AK46" t="str">
        <f t="shared" si="29"/>
        <v>0</v>
      </c>
      <c r="AL46" t="str">
        <f t="shared" si="30"/>
        <v>0</v>
      </c>
      <c r="AM46" t="str">
        <f t="shared" si="31"/>
        <v>0</v>
      </c>
      <c r="AN46" t="str">
        <f t="shared" si="32"/>
        <v>0</v>
      </c>
      <c r="AO46" t="str">
        <f t="shared" si="33"/>
        <v>0</v>
      </c>
      <c r="AP46" t="str">
        <f t="shared" si="34"/>
        <v>0</v>
      </c>
      <c r="AQ46" t="str">
        <f t="shared" si="35"/>
        <v>0</v>
      </c>
      <c r="AR46" t="str">
        <f t="shared" si="36"/>
        <v>0</v>
      </c>
      <c r="AS46" t="str">
        <f t="shared" si="37"/>
        <v>0</v>
      </c>
      <c r="AT46" t="str">
        <f t="shared" si="38"/>
        <v>0</v>
      </c>
      <c r="AU46" t="str">
        <f t="shared" si="39"/>
        <v>0</v>
      </c>
      <c r="AV46" t="str">
        <f t="shared" si="40"/>
        <v>0</v>
      </c>
      <c r="AW46" t="str">
        <f t="shared" si="41"/>
        <v>0</v>
      </c>
      <c r="AX46" t="str">
        <f t="shared" si="42"/>
        <v>0</v>
      </c>
      <c r="AY46" t="str">
        <f t="shared" si="43"/>
        <v>0</v>
      </c>
    </row>
    <row r="47" ht="13.5" spans="1:51">
      <c r="A47" s="83"/>
      <c r="B47" s="83"/>
      <c r="C47" s="84"/>
      <c r="H47" t="str">
        <f t="shared" si="0"/>
        <v>0</v>
      </c>
      <c r="I47" t="str">
        <f t="shared" si="1"/>
        <v>0</v>
      </c>
      <c r="J47" t="str">
        <f t="shared" si="2"/>
        <v>0</v>
      </c>
      <c r="K47" t="str">
        <f t="shared" si="3"/>
        <v>0</v>
      </c>
      <c r="L47" t="str">
        <f t="shared" si="4"/>
        <v>0</v>
      </c>
      <c r="M47" t="str">
        <f t="shared" si="5"/>
        <v>0</v>
      </c>
      <c r="N47" t="str">
        <f t="shared" si="6"/>
        <v>0</v>
      </c>
      <c r="O47" t="str">
        <f t="shared" si="7"/>
        <v>0</v>
      </c>
      <c r="P47" t="str">
        <f t="shared" si="8"/>
        <v>0</v>
      </c>
      <c r="Q47" t="str">
        <f t="shared" si="9"/>
        <v>0</v>
      </c>
      <c r="R47" t="str">
        <f t="shared" si="10"/>
        <v>0</v>
      </c>
      <c r="S47" t="str">
        <f t="shared" si="11"/>
        <v>0</v>
      </c>
      <c r="T47" t="str">
        <f t="shared" si="12"/>
        <v>0</v>
      </c>
      <c r="U47" t="str">
        <f t="shared" si="13"/>
        <v>0</v>
      </c>
      <c r="V47" t="str">
        <f t="shared" si="14"/>
        <v>0</v>
      </c>
      <c r="W47" t="str">
        <f t="shared" si="15"/>
        <v>0</v>
      </c>
      <c r="X47" t="str">
        <f t="shared" si="16"/>
        <v>0</v>
      </c>
      <c r="Y47" t="str">
        <f t="shared" si="17"/>
        <v>0</v>
      </c>
      <c r="Z47" t="str">
        <f t="shared" si="18"/>
        <v>0</v>
      </c>
      <c r="AA47" t="str">
        <f t="shared" si="19"/>
        <v>0</v>
      </c>
      <c r="AB47" t="str">
        <f t="shared" si="20"/>
        <v>0</v>
      </c>
      <c r="AC47" t="str">
        <f t="shared" si="21"/>
        <v>0</v>
      </c>
      <c r="AD47" t="str">
        <f t="shared" si="22"/>
        <v>0</v>
      </c>
      <c r="AE47" t="str">
        <f t="shared" si="23"/>
        <v>0</v>
      </c>
      <c r="AF47" t="str">
        <f t="shared" si="24"/>
        <v>0</v>
      </c>
      <c r="AG47" t="str">
        <f t="shared" si="25"/>
        <v>0</v>
      </c>
      <c r="AH47" t="str">
        <f t="shared" si="26"/>
        <v>0</v>
      </c>
      <c r="AI47" t="str">
        <f t="shared" si="27"/>
        <v>0</v>
      </c>
      <c r="AJ47" t="str">
        <f t="shared" si="28"/>
        <v>0</v>
      </c>
      <c r="AK47" t="str">
        <f t="shared" si="29"/>
        <v>0</v>
      </c>
      <c r="AL47" t="str">
        <f t="shared" si="30"/>
        <v>0</v>
      </c>
      <c r="AM47" t="str">
        <f t="shared" si="31"/>
        <v>0</v>
      </c>
      <c r="AN47" t="str">
        <f t="shared" si="32"/>
        <v>0</v>
      </c>
      <c r="AO47" t="str">
        <f t="shared" si="33"/>
        <v>0</v>
      </c>
      <c r="AP47" t="str">
        <f t="shared" si="34"/>
        <v>0</v>
      </c>
      <c r="AQ47" t="str">
        <f t="shared" si="35"/>
        <v>0</v>
      </c>
      <c r="AR47" t="str">
        <f t="shared" si="36"/>
        <v>0</v>
      </c>
      <c r="AS47" t="str">
        <f t="shared" si="37"/>
        <v>0</v>
      </c>
      <c r="AT47" t="str">
        <f t="shared" si="38"/>
        <v>0</v>
      </c>
      <c r="AU47" t="str">
        <f t="shared" si="39"/>
        <v>0</v>
      </c>
      <c r="AV47" t="str">
        <f t="shared" si="40"/>
        <v>0</v>
      </c>
      <c r="AW47" t="str">
        <f t="shared" si="41"/>
        <v>0</v>
      </c>
      <c r="AX47" t="str">
        <f t="shared" si="42"/>
        <v>0</v>
      </c>
      <c r="AY47" t="str">
        <f t="shared" si="43"/>
        <v>0</v>
      </c>
    </row>
    <row r="48" ht="13.5" spans="1:51">
      <c r="A48" s="83"/>
      <c r="B48" s="83"/>
      <c r="C48" s="84"/>
      <c r="H48" t="str">
        <f t="shared" si="0"/>
        <v>0</v>
      </c>
      <c r="I48" t="str">
        <f t="shared" si="1"/>
        <v>0</v>
      </c>
      <c r="J48" t="str">
        <f t="shared" si="2"/>
        <v>0</v>
      </c>
      <c r="K48" t="str">
        <f t="shared" si="3"/>
        <v>0</v>
      </c>
      <c r="L48" t="str">
        <f t="shared" si="4"/>
        <v>0</v>
      </c>
      <c r="M48" t="str">
        <f t="shared" si="5"/>
        <v>0</v>
      </c>
      <c r="N48" t="str">
        <f t="shared" si="6"/>
        <v>0</v>
      </c>
      <c r="O48" t="str">
        <f t="shared" si="7"/>
        <v>0</v>
      </c>
      <c r="P48" t="str">
        <f t="shared" si="8"/>
        <v>0</v>
      </c>
      <c r="Q48" t="str">
        <f t="shared" si="9"/>
        <v>0</v>
      </c>
      <c r="R48" t="str">
        <f t="shared" si="10"/>
        <v>0</v>
      </c>
      <c r="S48" t="str">
        <f t="shared" si="11"/>
        <v>0</v>
      </c>
      <c r="T48" t="str">
        <f t="shared" si="12"/>
        <v>0</v>
      </c>
      <c r="U48" t="str">
        <f t="shared" si="13"/>
        <v>0</v>
      </c>
      <c r="V48" t="str">
        <f t="shared" si="14"/>
        <v>0</v>
      </c>
      <c r="W48" t="str">
        <f t="shared" si="15"/>
        <v>0</v>
      </c>
      <c r="X48" t="str">
        <f t="shared" si="16"/>
        <v>0</v>
      </c>
      <c r="Y48" t="str">
        <f t="shared" si="17"/>
        <v>0</v>
      </c>
      <c r="Z48" t="str">
        <f t="shared" si="18"/>
        <v>0</v>
      </c>
      <c r="AA48" t="str">
        <f t="shared" si="19"/>
        <v>0</v>
      </c>
      <c r="AB48" t="str">
        <f t="shared" si="20"/>
        <v>0</v>
      </c>
      <c r="AC48" t="str">
        <f t="shared" si="21"/>
        <v>0</v>
      </c>
      <c r="AD48" t="str">
        <f t="shared" si="22"/>
        <v>0</v>
      </c>
      <c r="AE48" t="str">
        <f t="shared" si="23"/>
        <v>0</v>
      </c>
      <c r="AF48" t="str">
        <f t="shared" si="24"/>
        <v>0</v>
      </c>
      <c r="AG48" t="str">
        <f t="shared" si="25"/>
        <v>0</v>
      </c>
      <c r="AH48" t="str">
        <f t="shared" si="26"/>
        <v>0</v>
      </c>
      <c r="AI48" t="str">
        <f t="shared" si="27"/>
        <v>0</v>
      </c>
      <c r="AJ48" t="str">
        <f t="shared" si="28"/>
        <v>0</v>
      </c>
      <c r="AK48" t="str">
        <f t="shared" si="29"/>
        <v>0</v>
      </c>
      <c r="AL48" t="str">
        <f t="shared" si="30"/>
        <v>0</v>
      </c>
      <c r="AM48" t="str">
        <f t="shared" si="31"/>
        <v>0</v>
      </c>
      <c r="AN48" t="str">
        <f t="shared" si="32"/>
        <v>0</v>
      </c>
      <c r="AO48" t="str">
        <f t="shared" si="33"/>
        <v>0</v>
      </c>
      <c r="AP48" t="str">
        <f t="shared" si="34"/>
        <v>0</v>
      </c>
      <c r="AQ48" t="str">
        <f t="shared" si="35"/>
        <v>0</v>
      </c>
      <c r="AR48" t="str">
        <f t="shared" si="36"/>
        <v>0</v>
      </c>
      <c r="AS48" t="str">
        <f t="shared" si="37"/>
        <v>0</v>
      </c>
      <c r="AT48" t="str">
        <f t="shared" si="38"/>
        <v>0</v>
      </c>
      <c r="AU48" t="str">
        <f t="shared" si="39"/>
        <v>0</v>
      </c>
      <c r="AV48" t="str">
        <f t="shared" si="40"/>
        <v>0</v>
      </c>
      <c r="AW48" t="str">
        <f t="shared" si="41"/>
        <v>0</v>
      </c>
      <c r="AX48" t="str">
        <f t="shared" si="42"/>
        <v>0</v>
      </c>
      <c r="AY48" t="str">
        <f t="shared" si="43"/>
        <v>0</v>
      </c>
    </row>
    <row r="49" ht="13.5" spans="1:51">
      <c r="A49" s="81"/>
      <c r="B49" s="81"/>
      <c r="C49" s="84"/>
      <c r="H49" t="str">
        <f t="shared" si="0"/>
        <v>0</v>
      </c>
      <c r="I49" t="str">
        <f t="shared" si="1"/>
        <v>0</v>
      </c>
      <c r="J49" t="str">
        <f t="shared" si="2"/>
        <v>0</v>
      </c>
      <c r="K49" t="str">
        <f t="shared" si="3"/>
        <v>0</v>
      </c>
      <c r="L49" t="str">
        <f t="shared" si="4"/>
        <v>0</v>
      </c>
      <c r="M49" t="str">
        <f t="shared" si="5"/>
        <v>0</v>
      </c>
      <c r="N49" t="str">
        <f t="shared" si="6"/>
        <v>0</v>
      </c>
      <c r="O49" t="str">
        <f t="shared" si="7"/>
        <v>0</v>
      </c>
      <c r="P49" t="str">
        <f t="shared" si="8"/>
        <v>0</v>
      </c>
      <c r="Q49" t="str">
        <f t="shared" si="9"/>
        <v>0</v>
      </c>
      <c r="R49" t="str">
        <f t="shared" si="10"/>
        <v>0</v>
      </c>
      <c r="S49" t="str">
        <f t="shared" si="11"/>
        <v>0</v>
      </c>
      <c r="T49" t="str">
        <f t="shared" si="12"/>
        <v>0</v>
      </c>
      <c r="U49" t="str">
        <f t="shared" si="13"/>
        <v>0</v>
      </c>
      <c r="V49" t="str">
        <f t="shared" si="14"/>
        <v>0</v>
      </c>
      <c r="W49" t="str">
        <f t="shared" si="15"/>
        <v>0</v>
      </c>
      <c r="X49" t="str">
        <f t="shared" si="16"/>
        <v>0</v>
      </c>
      <c r="Y49" t="str">
        <f t="shared" si="17"/>
        <v>0</v>
      </c>
      <c r="Z49" t="str">
        <f t="shared" si="18"/>
        <v>0</v>
      </c>
      <c r="AA49" t="str">
        <f t="shared" si="19"/>
        <v>0</v>
      </c>
      <c r="AB49" t="str">
        <f t="shared" si="20"/>
        <v>0</v>
      </c>
      <c r="AC49" t="str">
        <f t="shared" si="21"/>
        <v>0</v>
      </c>
      <c r="AD49" t="str">
        <f t="shared" si="22"/>
        <v>0</v>
      </c>
      <c r="AE49" t="str">
        <f t="shared" si="23"/>
        <v>0</v>
      </c>
      <c r="AF49" t="str">
        <f t="shared" si="24"/>
        <v>0</v>
      </c>
      <c r="AG49" t="str">
        <f t="shared" si="25"/>
        <v>0</v>
      </c>
      <c r="AH49" t="str">
        <f t="shared" si="26"/>
        <v>0</v>
      </c>
      <c r="AI49" t="str">
        <f t="shared" si="27"/>
        <v>0</v>
      </c>
      <c r="AJ49" t="str">
        <f t="shared" si="28"/>
        <v>0</v>
      </c>
      <c r="AK49" t="str">
        <f t="shared" si="29"/>
        <v>0</v>
      </c>
      <c r="AL49" t="str">
        <f t="shared" si="30"/>
        <v>0</v>
      </c>
      <c r="AM49" t="str">
        <f t="shared" si="31"/>
        <v>0</v>
      </c>
      <c r="AN49" t="str">
        <f t="shared" si="32"/>
        <v>0</v>
      </c>
      <c r="AO49" t="str">
        <f t="shared" si="33"/>
        <v>0</v>
      </c>
      <c r="AP49" t="str">
        <f t="shared" si="34"/>
        <v>0</v>
      </c>
      <c r="AQ49" t="str">
        <f t="shared" si="35"/>
        <v>0</v>
      </c>
      <c r="AR49" t="str">
        <f t="shared" si="36"/>
        <v>0</v>
      </c>
      <c r="AS49" t="str">
        <f t="shared" si="37"/>
        <v>0</v>
      </c>
      <c r="AT49" t="str">
        <f t="shared" si="38"/>
        <v>0</v>
      </c>
      <c r="AU49" t="str">
        <f t="shared" si="39"/>
        <v>0</v>
      </c>
      <c r="AV49" t="str">
        <f t="shared" si="40"/>
        <v>0</v>
      </c>
      <c r="AW49" t="str">
        <f t="shared" si="41"/>
        <v>0</v>
      </c>
      <c r="AX49" t="str">
        <f t="shared" si="42"/>
        <v>0</v>
      </c>
      <c r="AY49" t="str">
        <f t="shared" si="43"/>
        <v>0</v>
      </c>
    </row>
    <row r="50" ht="13.5" spans="1:51">
      <c r="A50" s="81"/>
      <c r="B50" s="81"/>
      <c r="C50" s="84"/>
      <c r="H50" t="str">
        <f t="shared" si="0"/>
        <v>0</v>
      </c>
      <c r="I50" t="str">
        <f t="shared" si="1"/>
        <v>0</v>
      </c>
      <c r="J50" t="str">
        <f t="shared" si="2"/>
        <v>0</v>
      </c>
      <c r="K50" t="str">
        <f t="shared" si="3"/>
        <v>0</v>
      </c>
      <c r="L50" t="str">
        <f t="shared" si="4"/>
        <v>0</v>
      </c>
      <c r="M50" t="str">
        <f t="shared" si="5"/>
        <v>0</v>
      </c>
      <c r="N50" t="str">
        <f t="shared" si="6"/>
        <v>0</v>
      </c>
      <c r="O50" t="str">
        <f t="shared" si="7"/>
        <v>0</v>
      </c>
      <c r="P50" t="str">
        <f t="shared" si="8"/>
        <v>0</v>
      </c>
      <c r="Q50" t="str">
        <f t="shared" si="9"/>
        <v>0</v>
      </c>
      <c r="R50" t="str">
        <f t="shared" si="10"/>
        <v>0</v>
      </c>
      <c r="S50" t="str">
        <f t="shared" si="11"/>
        <v>0</v>
      </c>
      <c r="T50" t="str">
        <f t="shared" si="12"/>
        <v>0</v>
      </c>
      <c r="U50" t="str">
        <f t="shared" si="13"/>
        <v>0</v>
      </c>
      <c r="V50" t="str">
        <f t="shared" si="14"/>
        <v>0</v>
      </c>
      <c r="W50" t="str">
        <f t="shared" si="15"/>
        <v>0</v>
      </c>
      <c r="X50" t="str">
        <f t="shared" si="16"/>
        <v>0</v>
      </c>
      <c r="Y50" t="str">
        <f t="shared" si="17"/>
        <v>0</v>
      </c>
      <c r="Z50" t="str">
        <f t="shared" si="18"/>
        <v>0</v>
      </c>
      <c r="AA50" t="str">
        <f t="shared" si="19"/>
        <v>0</v>
      </c>
      <c r="AB50" t="str">
        <f t="shared" si="20"/>
        <v>0</v>
      </c>
      <c r="AC50" t="str">
        <f t="shared" si="21"/>
        <v>0</v>
      </c>
      <c r="AD50" t="str">
        <f t="shared" si="22"/>
        <v>0</v>
      </c>
      <c r="AE50" t="str">
        <f t="shared" si="23"/>
        <v>0</v>
      </c>
      <c r="AF50" t="str">
        <f t="shared" si="24"/>
        <v>0</v>
      </c>
      <c r="AG50" t="str">
        <f t="shared" si="25"/>
        <v>0</v>
      </c>
      <c r="AH50" t="str">
        <f t="shared" si="26"/>
        <v>0</v>
      </c>
      <c r="AI50" t="str">
        <f t="shared" si="27"/>
        <v>0</v>
      </c>
      <c r="AJ50" t="str">
        <f t="shared" si="28"/>
        <v>0</v>
      </c>
      <c r="AK50" t="str">
        <f t="shared" si="29"/>
        <v>0</v>
      </c>
      <c r="AL50" t="str">
        <f t="shared" si="30"/>
        <v>0</v>
      </c>
      <c r="AM50" t="str">
        <f t="shared" si="31"/>
        <v>0</v>
      </c>
      <c r="AN50" t="str">
        <f t="shared" si="32"/>
        <v>0</v>
      </c>
      <c r="AO50" t="str">
        <f t="shared" si="33"/>
        <v>0</v>
      </c>
      <c r="AP50" t="str">
        <f t="shared" si="34"/>
        <v>0</v>
      </c>
      <c r="AQ50" t="str">
        <f t="shared" si="35"/>
        <v>0</v>
      </c>
      <c r="AR50" t="str">
        <f t="shared" si="36"/>
        <v>0</v>
      </c>
      <c r="AS50" t="str">
        <f t="shared" si="37"/>
        <v>0</v>
      </c>
      <c r="AT50" t="str">
        <f t="shared" si="38"/>
        <v>0</v>
      </c>
      <c r="AU50" t="str">
        <f t="shared" si="39"/>
        <v>0</v>
      </c>
      <c r="AV50" t="str">
        <f t="shared" si="40"/>
        <v>0</v>
      </c>
      <c r="AW50" t="str">
        <f t="shared" si="41"/>
        <v>0</v>
      </c>
      <c r="AX50" t="str">
        <f t="shared" si="42"/>
        <v>0</v>
      </c>
      <c r="AY50" t="str">
        <f t="shared" si="43"/>
        <v>0</v>
      </c>
    </row>
    <row r="51" ht="13.5" spans="1:51">
      <c r="A51" s="81"/>
      <c r="B51" s="81"/>
      <c r="C51" s="84"/>
      <c r="H51" s="79" t="s">
        <v>321</v>
      </c>
      <c r="I51" s="79" t="s">
        <v>322</v>
      </c>
      <c r="J51" s="79" t="s">
        <v>321</v>
      </c>
      <c r="K51" s="79" t="s">
        <v>322</v>
      </c>
      <c r="L51" s="79" t="s">
        <v>321</v>
      </c>
      <c r="M51" s="79" t="s">
        <v>322</v>
      </c>
      <c r="N51" s="79" t="s">
        <v>321</v>
      </c>
      <c r="O51" s="79" t="s">
        <v>322</v>
      </c>
      <c r="P51" s="79" t="s">
        <v>321</v>
      </c>
      <c r="Q51" s="79" t="s">
        <v>322</v>
      </c>
      <c r="R51" s="79" t="s">
        <v>321</v>
      </c>
      <c r="S51" s="79" t="s">
        <v>322</v>
      </c>
      <c r="T51" s="79" t="s">
        <v>321</v>
      </c>
      <c r="U51" s="79" t="s">
        <v>322</v>
      </c>
      <c r="V51" s="79" t="s">
        <v>321</v>
      </c>
      <c r="W51" s="79" t="s">
        <v>322</v>
      </c>
      <c r="X51" s="79" t="s">
        <v>321</v>
      </c>
      <c r="Y51" s="79" t="s">
        <v>322</v>
      </c>
      <c r="Z51" s="79" t="s">
        <v>321</v>
      </c>
      <c r="AA51" s="79" t="s">
        <v>322</v>
      </c>
      <c r="AB51" s="79" t="s">
        <v>321</v>
      </c>
      <c r="AC51" s="79" t="s">
        <v>322</v>
      </c>
      <c r="AD51" s="79" t="s">
        <v>321</v>
      </c>
      <c r="AE51" s="79" t="s">
        <v>322</v>
      </c>
      <c r="AF51" s="79" t="s">
        <v>321</v>
      </c>
      <c r="AG51" s="79" t="s">
        <v>322</v>
      </c>
      <c r="AH51" s="79" t="s">
        <v>321</v>
      </c>
      <c r="AI51" s="79" t="s">
        <v>322</v>
      </c>
      <c r="AJ51" s="79" t="s">
        <v>321</v>
      </c>
      <c r="AK51" s="79" t="s">
        <v>322</v>
      </c>
      <c r="AL51" s="79" t="s">
        <v>321</v>
      </c>
      <c r="AM51" s="79" t="s">
        <v>322</v>
      </c>
      <c r="AN51" s="79" t="s">
        <v>321</v>
      </c>
      <c r="AO51" s="79" t="s">
        <v>322</v>
      </c>
      <c r="AP51" s="79" t="s">
        <v>321</v>
      </c>
      <c r="AQ51" s="79" t="s">
        <v>322</v>
      </c>
      <c r="AR51" s="79" t="s">
        <v>321</v>
      </c>
      <c r="AS51" s="79" t="s">
        <v>322</v>
      </c>
      <c r="AT51" s="80" t="s">
        <v>321</v>
      </c>
      <c r="AU51" s="79" t="s">
        <v>322</v>
      </c>
      <c r="AV51" s="79" t="s">
        <v>321</v>
      </c>
      <c r="AW51" s="79" t="s">
        <v>322</v>
      </c>
      <c r="AX51" s="79" t="s">
        <v>321</v>
      </c>
      <c r="AY51" s="79" t="s">
        <v>322</v>
      </c>
    </row>
    <row r="52" s="68" customFormat="1" ht="13.5" spans="1:51">
      <c r="A52" s="81"/>
      <c r="B52" s="81"/>
      <c r="C52" s="84"/>
      <c r="G52" s="68" t="s">
        <v>323</v>
      </c>
      <c r="H52" s="68">
        <f>SUM(H3:H50)</f>
        <v>0</v>
      </c>
      <c r="I52" s="68">
        <f t="shared" ref="I52:AY52" si="44">SUM(I3:I50)</f>
        <v>0</v>
      </c>
      <c r="J52" s="68">
        <f t="shared" si="44"/>
        <v>0</v>
      </c>
      <c r="K52" s="68">
        <f t="shared" si="44"/>
        <v>0</v>
      </c>
      <c r="L52" s="68">
        <f t="shared" si="44"/>
        <v>0</v>
      </c>
      <c r="M52" s="68">
        <f t="shared" si="44"/>
        <v>0</v>
      </c>
      <c r="N52" s="68">
        <f t="shared" si="44"/>
        <v>0</v>
      </c>
      <c r="O52" s="68">
        <f t="shared" si="44"/>
        <v>0</v>
      </c>
      <c r="P52" s="68">
        <f t="shared" si="44"/>
        <v>0</v>
      </c>
      <c r="Q52" s="68">
        <f t="shared" si="44"/>
        <v>0</v>
      </c>
      <c r="R52" s="68">
        <f t="shared" si="44"/>
        <v>0</v>
      </c>
      <c r="S52" s="68">
        <f t="shared" si="44"/>
        <v>0</v>
      </c>
      <c r="T52" s="68">
        <f t="shared" si="44"/>
        <v>0</v>
      </c>
      <c r="U52" s="68">
        <f t="shared" si="44"/>
        <v>0</v>
      </c>
      <c r="V52" s="68">
        <f t="shared" si="44"/>
        <v>0</v>
      </c>
      <c r="W52" s="68">
        <f t="shared" si="44"/>
        <v>0</v>
      </c>
      <c r="X52" s="68">
        <f t="shared" si="44"/>
        <v>0</v>
      </c>
      <c r="Y52" s="68">
        <f t="shared" si="44"/>
        <v>0</v>
      </c>
      <c r="Z52" s="68">
        <f t="shared" si="44"/>
        <v>0</v>
      </c>
      <c r="AA52" s="68">
        <f t="shared" si="44"/>
        <v>0</v>
      </c>
      <c r="AB52" s="68">
        <f t="shared" si="44"/>
        <v>0</v>
      </c>
      <c r="AC52" s="68">
        <f t="shared" si="44"/>
        <v>0</v>
      </c>
      <c r="AD52" s="68">
        <f t="shared" si="44"/>
        <v>0</v>
      </c>
      <c r="AE52" s="68">
        <f t="shared" si="44"/>
        <v>0</v>
      </c>
      <c r="AF52" s="68">
        <f t="shared" si="44"/>
        <v>0</v>
      </c>
      <c r="AG52" s="68">
        <f t="shared" si="44"/>
        <v>0</v>
      </c>
      <c r="AH52" s="68">
        <f t="shared" si="44"/>
        <v>0</v>
      </c>
      <c r="AI52" s="68">
        <f t="shared" si="44"/>
        <v>0</v>
      </c>
      <c r="AJ52" s="68">
        <f t="shared" si="44"/>
        <v>0</v>
      </c>
      <c r="AK52" s="68">
        <f t="shared" si="44"/>
        <v>0</v>
      </c>
      <c r="AL52" s="68">
        <f t="shared" si="44"/>
        <v>0</v>
      </c>
      <c r="AM52" s="68">
        <f t="shared" si="44"/>
        <v>0</v>
      </c>
      <c r="AN52" s="68">
        <f t="shared" si="44"/>
        <v>0</v>
      </c>
      <c r="AO52" s="68">
        <f t="shared" si="44"/>
        <v>0</v>
      </c>
      <c r="AP52" s="68">
        <f t="shared" si="44"/>
        <v>0</v>
      </c>
      <c r="AQ52" s="68">
        <f t="shared" si="44"/>
        <v>0</v>
      </c>
      <c r="AR52" s="68">
        <f t="shared" si="44"/>
        <v>0</v>
      </c>
      <c r="AS52" s="68">
        <f t="shared" si="44"/>
        <v>0</v>
      </c>
      <c r="AT52" s="68">
        <f t="shared" si="44"/>
        <v>0</v>
      </c>
      <c r="AU52" s="68">
        <f t="shared" si="44"/>
        <v>0</v>
      </c>
      <c r="AV52" s="68">
        <f t="shared" si="44"/>
        <v>0</v>
      </c>
      <c r="AW52" s="68">
        <f t="shared" si="44"/>
        <v>0</v>
      </c>
      <c r="AX52" s="68">
        <f t="shared" si="44"/>
        <v>0</v>
      </c>
      <c r="AY52" s="68">
        <f t="shared" si="44"/>
        <v>0</v>
      </c>
    </row>
    <row r="53" ht="13.85" spans="1:51">
      <c r="A53" s="81"/>
      <c r="B53" s="81"/>
      <c r="C53" s="84"/>
      <c r="H53" s="70"/>
      <c r="I53" s="70" t="s">
        <v>14</v>
      </c>
      <c r="J53" s="70"/>
      <c r="K53" s="70" t="s">
        <v>16</v>
      </c>
      <c r="L53" s="70"/>
      <c r="M53" s="70" t="s">
        <v>18</v>
      </c>
      <c r="N53" s="70"/>
      <c r="O53" s="70" t="s">
        <v>20</v>
      </c>
      <c r="P53" s="70"/>
      <c r="Q53" s="70" t="s">
        <v>22</v>
      </c>
      <c r="R53" s="70"/>
      <c r="S53" s="70" t="s">
        <v>24</v>
      </c>
      <c r="T53" s="70"/>
      <c r="U53" s="71" t="s">
        <v>26</v>
      </c>
      <c r="V53" s="71"/>
      <c r="W53" s="71" t="s">
        <v>28</v>
      </c>
      <c r="X53" s="71"/>
      <c r="Y53" s="71" t="s">
        <v>30</v>
      </c>
      <c r="Z53" s="72"/>
      <c r="AA53" s="71" t="s">
        <v>32</v>
      </c>
      <c r="AB53" s="71"/>
      <c r="AC53" s="73" t="s">
        <v>35</v>
      </c>
      <c r="AD53" s="73"/>
      <c r="AE53" s="73" t="s">
        <v>37</v>
      </c>
      <c r="AF53" s="73"/>
      <c r="AG53" s="73" t="s">
        <v>39</v>
      </c>
      <c r="AH53" s="74"/>
      <c r="AI53" s="73" t="s">
        <v>41</v>
      </c>
      <c r="AJ53" s="73"/>
      <c r="AK53" s="75" t="s">
        <v>43</v>
      </c>
      <c r="AL53" s="75"/>
      <c r="AM53" s="75" t="s">
        <v>46</v>
      </c>
      <c r="AN53" s="75"/>
      <c r="AO53" s="76" t="s">
        <v>48</v>
      </c>
      <c r="AP53" s="76"/>
      <c r="AQ53" s="76" t="s">
        <v>52</v>
      </c>
      <c r="AR53" s="76"/>
      <c r="AS53" s="76" t="s">
        <v>54</v>
      </c>
      <c r="AT53" s="76"/>
      <c r="AU53" s="77" t="s">
        <v>56</v>
      </c>
      <c r="AV53" s="77"/>
      <c r="AW53" s="77" t="s">
        <v>58</v>
      </c>
      <c r="AX53" s="77"/>
      <c r="AY53" s="77" t="s">
        <v>60</v>
      </c>
    </row>
    <row r="54" ht="13.5" spans="1:51">
      <c r="A54" s="81"/>
      <c r="B54" s="81"/>
      <c r="C54" s="84"/>
    </row>
    <row r="55" ht="13.5" spans="1:51">
      <c r="A55" s="81"/>
      <c r="B55" s="81"/>
      <c r="C55" s="84"/>
    </row>
    <row r="56" ht="13.5" spans="1:51">
      <c r="A56" s="81"/>
      <c r="B56" s="81"/>
      <c r="C56" s="84"/>
    </row>
    <row r="57" ht="13.5" spans="1:51">
      <c r="A57" s="81"/>
      <c r="B57" s="81"/>
      <c r="C57" s="84"/>
    </row>
    <row r="58" ht="13.5" spans="1:51">
      <c r="A58" s="81"/>
      <c r="B58" s="81"/>
      <c r="C58" s="84"/>
    </row>
    <row r="59" ht="13.5" spans="1:51">
      <c r="A59" s="81"/>
      <c r="B59" s="81"/>
      <c r="C59" s="84"/>
    </row>
    <row r="60" ht="13.5" spans="1:51">
      <c r="A60" s="81"/>
      <c r="B60" s="81"/>
      <c r="C60" s="84"/>
    </row>
    <row r="61" ht="13.5" spans="1:51">
      <c r="A61" s="81"/>
      <c r="B61" s="81"/>
      <c r="C61" s="84"/>
    </row>
    <row r="62" ht="13.5" spans="1:51">
      <c r="A62" s="81"/>
      <c r="B62" s="81"/>
      <c r="C62" s="84"/>
    </row>
    <row r="63" ht="13.5" spans="1:51">
      <c r="A63" s="81"/>
      <c r="B63" s="81"/>
      <c r="C63" s="84"/>
    </row>
    <row r="64" ht="13.5" spans="1:51">
      <c r="A64" s="81"/>
      <c r="B64" s="81"/>
      <c r="C64" s="84"/>
    </row>
    <row r="65" ht="13.5" spans="1:3">
      <c r="A65" s="81"/>
      <c r="B65" s="81"/>
      <c r="C65" s="84"/>
    </row>
    <row r="66" ht="13.5" spans="1:3">
      <c r="A66" s="81"/>
      <c r="B66" s="81"/>
      <c r="C66" s="84"/>
    </row>
    <row r="67" ht="13.5" spans="1:3">
      <c r="A67" s="81"/>
      <c r="B67" s="81"/>
      <c r="C67" s="84"/>
    </row>
    <row r="68" ht="13.5" spans="1:3">
      <c r="A68" s="81"/>
      <c r="B68" s="81"/>
      <c r="C68" s="84"/>
    </row>
    <row r="69" ht="13.5" spans="1:3">
      <c r="A69" s="81"/>
      <c r="B69" s="81"/>
      <c r="C69" s="84"/>
    </row>
    <row r="70" ht="13.5" spans="1:3">
      <c r="A70" s="81"/>
      <c r="B70" s="81"/>
      <c r="C70" s="84"/>
    </row>
    <row r="71" ht="13.5" spans="1:3">
      <c r="A71" s="81"/>
      <c r="B71" s="81"/>
      <c r="C71" s="84"/>
    </row>
    <row r="72" ht="13.5" spans="1:3">
      <c r="A72" s="81"/>
      <c r="B72" s="81"/>
      <c r="C72" s="84"/>
    </row>
    <row r="73" ht="13.5" spans="1:3">
      <c r="A73" s="81"/>
      <c r="B73" s="81"/>
      <c r="C73" s="84"/>
    </row>
    <row r="74" ht="13.5" spans="1:3">
      <c r="A74" s="81"/>
      <c r="B74" s="81"/>
      <c r="C74" s="84"/>
    </row>
    <row r="75" ht="13.5" spans="1:3">
      <c r="A75" s="81"/>
      <c r="B75" s="81"/>
      <c r="C75" s="84"/>
    </row>
    <row r="76" ht="13.5" spans="1:3">
      <c r="A76" s="81"/>
      <c r="B76" s="81"/>
      <c r="C76" s="84"/>
    </row>
    <row r="77" ht="13.5" spans="1:3">
      <c r="A77" s="81"/>
      <c r="B77" s="81"/>
      <c r="C77" s="84"/>
    </row>
    <row r="78" ht="13.5" spans="1:3">
      <c r="A78" s="81"/>
      <c r="B78" s="81"/>
      <c r="C78" s="84"/>
    </row>
    <row r="79" ht="13.5" spans="1:3">
      <c r="A79" s="81"/>
      <c r="B79" s="81"/>
      <c r="C79" s="84"/>
    </row>
    <row r="80" ht="13.5" spans="1:3">
      <c r="A80" s="81"/>
      <c r="B80" s="81"/>
      <c r="C80" s="84"/>
    </row>
    <row r="81" ht="13.5" spans="1:3">
      <c r="A81" s="81"/>
      <c r="B81" s="81"/>
      <c r="C81" s="84"/>
    </row>
    <row r="82" ht="13.5" spans="1:3">
      <c r="A82" s="81"/>
      <c r="B82" s="81"/>
      <c r="C82" s="84"/>
    </row>
    <row r="83" ht="13.5" spans="1:3">
      <c r="A83" s="81"/>
      <c r="B83" s="81"/>
      <c r="C83" s="84"/>
    </row>
    <row r="84" ht="13.5" spans="1:3">
      <c r="A84" s="81"/>
      <c r="B84" s="81"/>
      <c r="C84" s="84"/>
    </row>
    <row r="85" ht="13.5" spans="1:3">
      <c r="A85" s="81"/>
      <c r="B85" s="81"/>
      <c r="C85" s="84"/>
    </row>
    <row r="86" ht="13.5" spans="1:3">
      <c r="A86" s="81"/>
      <c r="B86" s="81"/>
      <c r="C86" s="84"/>
    </row>
    <row r="87" ht="13.5" spans="1:3">
      <c r="A87" s="81"/>
      <c r="B87" s="81"/>
      <c r="C87" s="84"/>
    </row>
    <row r="88" ht="13.5" spans="1:3">
      <c r="A88" s="81"/>
      <c r="B88" s="81"/>
      <c r="C88" s="84"/>
    </row>
    <row r="89" ht="13.5" spans="1:3">
      <c r="A89" s="81"/>
      <c r="B89" s="81"/>
      <c r="C89" s="84"/>
    </row>
    <row r="90" ht="13.5" spans="1:3">
      <c r="A90" s="81"/>
      <c r="B90" s="81"/>
      <c r="C90" s="84"/>
    </row>
    <row r="91" ht="13.5" spans="1:3">
      <c r="A91" s="81"/>
      <c r="B91" s="81"/>
      <c r="C91" s="84"/>
    </row>
    <row r="92" ht="13.5" spans="1:3">
      <c r="A92" s="81"/>
      <c r="B92" s="81"/>
      <c r="C92" s="84"/>
    </row>
    <row r="93" ht="13.5" spans="1:3">
      <c r="A93" s="81"/>
      <c r="B93" s="81"/>
      <c r="C93" s="84"/>
    </row>
    <row r="94" ht="13.5" spans="1:3">
      <c r="A94" s="81"/>
      <c r="B94" s="81"/>
      <c r="C94" s="84"/>
    </row>
    <row r="95" ht="13.5" spans="1:3">
      <c r="A95" s="81"/>
      <c r="B95" s="81"/>
      <c r="C95" s="84"/>
    </row>
    <row r="96" ht="13.5" spans="1:3">
      <c r="A96" s="81"/>
      <c r="B96" s="81"/>
      <c r="C96" s="84"/>
    </row>
    <row r="97" ht="13.5" spans="1:3">
      <c r="A97" s="81"/>
      <c r="B97" s="81"/>
      <c r="C97" s="84"/>
    </row>
    <row r="98" ht="13.5" spans="1:3">
      <c r="A98" s="81"/>
      <c r="B98" s="81"/>
      <c r="C98" s="84"/>
    </row>
    <row r="99" ht="13.5" spans="1:3">
      <c r="A99" s="81"/>
      <c r="B99" s="81"/>
      <c r="C99" s="84"/>
    </row>
    <row r="100" ht="13.5" spans="1:3">
      <c r="A100" s="81"/>
      <c r="B100" s="81"/>
      <c r="C100" s="84"/>
    </row>
    <row r="101" ht="13.5" spans="1:3">
      <c r="A101" s="81"/>
      <c r="B101" s="81"/>
      <c r="C101" s="84"/>
    </row>
    <row r="102" ht="13.5" spans="1:3">
      <c r="A102" s="81"/>
      <c r="B102" s="81"/>
      <c r="C102" s="84"/>
    </row>
    <row r="103" ht="13.5" spans="1:3">
      <c r="A103" s="81"/>
      <c r="B103" s="81"/>
      <c r="C103" s="84"/>
    </row>
    <row r="104" ht="13.5" spans="1:3">
      <c r="A104" s="81"/>
      <c r="B104" s="81"/>
      <c r="C104" s="84"/>
    </row>
    <row r="105" ht="13.5" spans="1:3">
      <c r="A105" s="81"/>
      <c r="B105" s="81"/>
      <c r="C105" s="84"/>
    </row>
    <row r="106" ht="13.5" spans="1:3">
      <c r="A106" s="81"/>
      <c r="B106" s="81"/>
      <c r="C106" s="84"/>
    </row>
    <row r="107" ht="13.5" spans="1:3">
      <c r="A107" s="81"/>
      <c r="B107" s="81"/>
      <c r="C107" s="84"/>
    </row>
    <row r="108" ht="13.5" spans="1:3">
      <c r="A108" s="81"/>
      <c r="B108" s="81"/>
      <c r="C108" s="84"/>
    </row>
    <row r="109" ht="13.5" spans="1:3">
      <c r="A109" s="81"/>
      <c r="B109" s="81"/>
      <c r="C109" s="84"/>
    </row>
    <row r="110" ht="13.5" spans="1:3">
      <c r="A110" s="81"/>
      <c r="B110" s="81"/>
      <c r="C110" s="84"/>
    </row>
    <row r="111" ht="13.5" spans="1:3">
      <c r="A111" s="81"/>
      <c r="B111" s="81"/>
      <c r="C111" s="84"/>
    </row>
    <row r="112" ht="13.5" spans="1:3">
      <c r="A112" s="81"/>
      <c r="B112" s="81"/>
      <c r="C112" s="84"/>
    </row>
    <row r="113" ht="13.5" spans="1:3">
      <c r="A113" s="81"/>
      <c r="B113" s="81"/>
      <c r="C113" s="84"/>
    </row>
    <row r="114" ht="13.5" spans="1:3">
      <c r="A114" s="81"/>
      <c r="B114" s="81"/>
      <c r="C114" s="84"/>
    </row>
    <row r="115" ht="13.5" spans="1:3">
      <c r="A115" s="81"/>
      <c r="B115" s="81"/>
      <c r="C115" s="84"/>
    </row>
    <row r="116" ht="13.5" spans="1:3">
      <c r="A116" s="81"/>
      <c r="B116" s="81"/>
      <c r="C116" s="84"/>
    </row>
    <row r="117" ht="13.5" spans="1:3">
      <c r="A117" s="81"/>
      <c r="B117" s="81"/>
      <c r="C117" s="84"/>
    </row>
    <row r="118" ht="13.5" spans="1:3">
      <c r="A118" s="81"/>
      <c r="B118" s="81"/>
      <c r="C118" s="84"/>
    </row>
    <row r="119" ht="13.5" spans="1:3">
      <c r="A119" s="81"/>
      <c r="B119" s="81"/>
      <c r="C119" s="84"/>
    </row>
    <row r="120" ht="13.5" spans="1:3">
      <c r="A120" s="81"/>
      <c r="B120" s="81"/>
      <c r="C120" s="84"/>
    </row>
    <row r="121" ht="13.5" spans="1:3">
      <c r="A121" s="81"/>
      <c r="B121" s="81"/>
      <c r="C121" s="84"/>
    </row>
    <row r="122" ht="13.5" spans="1:3">
      <c r="A122" s="81"/>
      <c r="B122" s="81"/>
      <c r="C122" s="84"/>
    </row>
    <row r="123" ht="13.5" spans="1:3">
      <c r="A123" s="81"/>
      <c r="B123" s="81"/>
      <c r="C123" s="84"/>
    </row>
    <row r="124" ht="13.5" spans="1:3">
      <c r="A124" s="81"/>
      <c r="B124" s="81"/>
      <c r="C124" s="84"/>
    </row>
    <row r="125" ht="13.5" spans="1:3">
      <c r="A125" s="81"/>
      <c r="B125" s="81"/>
      <c r="C125" s="84"/>
    </row>
    <row r="126" ht="13.5" spans="1:3">
      <c r="A126" s="81"/>
      <c r="B126" s="81"/>
      <c r="C126" s="84"/>
    </row>
    <row r="127" ht="13.5" spans="1:3">
      <c r="A127" s="81"/>
      <c r="B127" s="81"/>
      <c r="C127" s="84"/>
    </row>
    <row r="128" ht="13.5" spans="1:3">
      <c r="A128" s="81"/>
      <c r="B128" s="81"/>
      <c r="C128" s="84"/>
    </row>
    <row r="129" ht="13.5" spans="1:3">
      <c r="A129" s="81"/>
      <c r="B129" s="81"/>
      <c r="C129" s="84"/>
    </row>
    <row r="130" ht="13.5" spans="1:3">
      <c r="A130" s="81"/>
      <c r="B130" s="81"/>
      <c r="C130" s="84"/>
    </row>
    <row r="131" ht="13.5" spans="1:3">
      <c r="A131" s="81"/>
      <c r="B131" s="81"/>
      <c r="C131" s="84"/>
    </row>
    <row r="132" ht="13.5" spans="1:3">
      <c r="A132" s="81"/>
      <c r="B132" s="81"/>
      <c r="C132" s="84"/>
    </row>
    <row r="133" ht="13.5" spans="1:3">
      <c r="A133" s="81"/>
      <c r="B133" s="81"/>
      <c r="C133" s="84"/>
    </row>
    <row r="134" ht="13.5" spans="1:3">
      <c r="A134" s="81"/>
      <c r="B134" s="81"/>
      <c r="C134" s="84"/>
    </row>
    <row r="135" ht="13.5" spans="1:3">
      <c r="A135" s="81"/>
      <c r="B135" s="81"/>
      <c r="C135" s="84"/>
    </row>
    <row r="136" ht="13.5" spans="1:3">
      <c r="A136" s="81"/>
      <c r="B136" s="81"/>
      <c r="C136" s="84"/>
    </row>
    <row r="137" ht="13.5" spans="1:3">
      <c r="A137" s="81"/>
      <c r="B137" s="81"/>
      <c r="C137" s="84"/>
    </row>
    <row r="138" ht="13.5" spans="1:3">
      <c r="A138" s="81"/>
      <c r="B138" s="81"/>
      <c r="C138" s="84"/>
    </row>
    <row r="139" ht="13.5" spans="1:3">
      <c r="A139" s="81"/>
      <c r="B139" s="81"/>
      <c r="C139" s="84"/>
    </row>
    <row r="140" ht="13.5" spans="1:3">
      <c r="A140" s="81"/>
      <c r="B140" s="81"/>
      <c r="C140" s="84"/>
    </row>
    <row r="141" ht="13.5" spans="1:3">
      <c r="A141" s="81"/>
      <c r="B141" s="81"/>
      <c r="C141" s="84"/>
    </row>
    <row r="142" ht="13.5" spans="1:3">
      <c r="A142" s="81"/>
      <c r="B142" s="81"/>
      <c r="C142" s="84"/>
    </row>
    <row r="143" ht="13.5" spans="1:3">
      <c r="A143" s="81"/>
      <c r="B143" s="81"/>
      <c r="C143" s="84"/>
    </row>
    <row r="144" ht="13.5" spans="1:3">
      <c r="A144" s="81"/>
      <c r="B144" s="81"/>
      <c r="C144" s="84"/>
    </row>
    <row r="145" ht="13.5" spans="1:3">
      <c r="A145" s="81"/>
      <c r="B145" s="81"/>
      <c r="C145" s="84"/>
    </row>
    <row r="146" ht="13.5" spans="1:3">
      <c r="A146" s="81"/>
      <c r="B146" s="81"/>
      <c r="C146" s="84"/>
    </row>
    <row r="147" ht="13.5" spans="1:3">
      <c r="A147" s="81"/>
      <c r="B147" s="81"/>
      <c r="C147" s="84"/>
    </row>
    <row r="148" ht="13.5" spans="1:3">
      <c r="A148" s="81"/>
      <c r="B148" s="81"/>
      <c r="C148" s="84"/>
    </row>
    <row r="149" ht="13.5" spans="1:3">
      <c r="A149" s="81"/>
      <c r="B149" s="81"/>
      <c r="C149" s="84"/>
    </row>
    <row r="150" ht="13.5" spans="1:3">
      <c r="A150" s="81"/>
      <c r="B150" s="81"/>
      <c r="C150" s="84"/>
    </row>
    <row r="151" ht="13.5" spans="1:3">
      <c r="A151" s="81"/>
      <c r="B151" s="81"/>
      <c r="C151" s="84"/>
    </row>
    <row r="152" ht="13.5" spans="1:3">
      <c r="A152" s="81"/>
      <c r="B152" s="81"/>
      <c r="C152" s="84"/>
    </row>
    <row r="153" ht="13.5" spans="1:3">
      <c r="A153" s="81"/>
      <c r="B153" s="81"/>
      <c r="C153" s="84"/>
    </row>
    <row r="154" ht="13.5" spans="1:3">
      <c r="A154" s="81"/>
      <c r="B154" s="81"/>
      <c r="C154" s="84"/>
    </row>
    <row r="155" ht="13.5" spans="1:3">
      <c r="A155" s="81"/>
      <c r="B155" s="81"/>
      <c r="C155" s="84"/>
    </row>
    <row r="156" ht="13.5" spans="1:3">
      <c r="A156" s="81"/>
      <c r="B156" s="81"/>
      <c r="C156" s="84"/>
    </row>
    <row r="157" ht="13.5" spans="1:3">
      <c r="A157" s="81"/>
      <c r="B157" s="81"/>
      <c r="C157" s="84"/>
    </row>
    <row r="158" ht="13.5" spans="1:3">
      <c r="A158" s="81"/>
      <c r="B158" s="81"/>
      <c r="C158" s="84"/>
    </row>
    <row r="159" ht="13.5" spans="1:3">
      <c r="A159" s="81"/>
      <c r="B159" s="81"/>
      <c r="C159" s="84"/>
    </row>
    <row r="160" ht="13.5" spans="1:3">
      <c r="A160" s="81"/>
      <c r="B160" s="86"/>
      <c r="C160" s="84"/>
    </row>
    <row r="161" ht="13.5" spans="1:3">
      <c r="A161" s="81"/>
      <c r="B161" s="86"/>
      <c r="C161" s="84"/>
    </row>
    <row r="162" ht="13.5" spans="1:3">
      <c r="A162" s="81"/>
      <c r="B162" s="86"/>
      <c r="C162" s="84"/>
    </row>
    <row r="163" ht="13.5" spans="1:3">
      <c r="A163" s="81"/>
    </row>
  </sheetData>
  <dataValidations count="1">
    <dataValidation type="list" allowBlank="1" showInputMessage="1" showErrorMessage="1" sqref="C4:C162">
      <formula1>$Q$3:$Q$24</formula1>
    </dataValidation>
  </dataValidation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A2" sqref="A2:F2"/>
    </sheetView>
  </sheetViews>
  <sheetFormatPr defaultColWidth="9.14285714285714" defaultRowHeight="15" outlineLevelCol="6"/>
  <cols>
    <col min="1" max="1" width="54.2857142857143" style="32" customWidth="1"/>
    <col min="2" max="2" width="14.1428571428571" style="32" customWidth="1"/>
    <col min="3" max="3" width="15.4285714285714" style="32" customWidth="1"/>
    <col min="4" max="4" width="50.1428571428571" style="32" customWidth="1"/>
    <col min="5" max="5" width="5.42857142857143" style="32" customWidth="1"/>
    <col min="6" max="6" width="17.5714285714286" style="32" customWidth="1"/>
    <col min="7" max="16384" width="9.14285714285714" style="32"/>
  </cols>
  <sheetData>
    <row r="1" ht="25.5" spans="1:6">
      <c r="A1" s="33" t="s">
        <v>324</v>
      </c>
      <c r="B1" s="33"/>
      <c r="C1" s="33"/>
      <c r="D1" s="33"/>
      <c r="E1" s="33"/>
      <c r="F1" s="33"/>
    </row>
    <row r="2" spans="1:6">
      <c r="A2" s="34">
        <v>46204</v>
      </c>
      <c r="B2" s="34"/>
      <c r="C2" s="34"/>
      <c r="D2" s="34"/>
      <c r="E2" s="34"/>
      <c r="F2" s="34"/>
    </row>
    <row r="3" spans="1:6">
      <c r="A3" s="35" t="s">
        <v>325</v>
      </c>
      <c r="B3" s="34"/>
      <c r="C3" s="34"/>
      <c r="D3" s="34"/>
    </row>
    <row r="4" s="30" customFormat="1" ht="14.6" spans="1:6">
      <c r="A4" s="36" t="s">
        <v>326</v>
      </c>
      <c r="B4" s="37" t="s">
        <v>178</v>
      </c>
      <c r="C4" s="37" t="s">
        <v>327</v>
      </c>
      <c r="D4" s="37" t="s">
        <v>326</v>
      </c>
      <c r="E4" s="37" t="s">
        <v>178</v>
      </c>
      <c r="F4" s="38" t="s">
        <v>327</v>
      </c>
    </row>
    <row r="5" s="31" customFormat="1" ht="14.6" spans="1:6">
      <c r="A5" s="39" t="s">
        <v>328</v>
      </c>
      <c r="B5" s="40">
        <v>1</v>
      </c>
      <c r="C5" s="40"/>
      <c r="D5" s="41" t="s">
        <v>43</v>
      </c>
      <c r="E5" s="40">
        <v>21</v>
      </c>
      <c r="F5" s="42">
        <f>-(计算!AJ52-计算!AK52)</f>
        <v>0</v>
      </c>
    </row>
    <row r="6" s="31" customFormat="1" ht="13.85" spans="1:6">
      <c r="A6" s="43" t="s">
        <v>14</v>
      </c>
      <c r="B6" s="40">
        <v>2</v>
      </c>
      <c r="C6" s="44">
        <f>计算!H52-计算!I52</f>
        <v>0</v>
      </c>
      <c r="D6" s="41" t="s">
        <v>46</v>
      </c>
      <c r="E6" s="40">
        <v>22</v>
      </c>
      <c r="F6" s="45">
        <f>-(计算!AL52-计算!AM52)</f>
        <v>0</v>
      </c>
    </row>
    <row r="7" s="31" customFormat="1" ht="14.6" spans="1:6">
      <c r="A7" s="43" t="s">
        <v>329</v>
      </c>
      <c r="B7" s="40">
        <v>3</v>
      </c>
      <c r="C7" s="44">
        <f>计算!J52-计算!K52</f>
        <v>0</v>
      </c>
      <c r="D7" s="46" t="s">
        <v>330</v>
      </c>
      <c r="E7" s="47">
        <v>23</v>
      </c>
      <c r="F7" s="48">
        <f>SUM(F5:F6)</f>
        <v>0</v>
      </c>
    </row>
    <row r="8" s="31" customFormat="1" ht="14.6" spans="1:6">
      <c r="A8" s="43" t="s">
        <v>18</v>
      </c>
      <c r="B8" s="40">
        <v>4</v>
      </c>
      <c r="C8" s="44">
        <f>计算!L52-计算!M52</f>
        <v>0</v>
      </c>
      <c r="D8" s="49" t="s">
        <v>331</v>
      </c>
      <c r="E8" s="47">
        <v>24</v>
      </c>
      <c r="F8" s="50">
        <f>C24-F7</f>
        <v>0</v>
      </c>
    </row>
    <row r="9" s="31" customFormat="1" ht="14.6" spans="1:6">
      <c r="A9" s="43" t="s">
        <v>20</v>
      </c>
      <c r="B9" s="40">
        <v>5</v>
      </c>
      <c r="C9" s="44">
        <f>计算!N52-计算!O52</f>
        <v>0</v>
      </c>
      <c r="D9" s="51" t="s">
        <v>332</v>
      </c>
      <c r="E9" s="40">
        <v>25</v>
      </c>
      <c r="F9" s="52"/>
    </row>
    <row r="10" s="31" customFormat="1" ht="13.85" spans="1:6">
      <c r="A10" s="43" t="s">
        <v>22</v>
      </c>
      <c r="B10" s="40">
        <v>6</v>
      </c>
      <c r="C10" s="44">
        <f>计算!P52-计算!Q52</f>
        <v>0</v>
      </c>
      <c r="D10" s="41" t="s">
        <v>48</v>
      </c>
      <c r="E10" s="40">
        <v>26</v>
      </c>
      <c r="F10" s="45">
        <f>计算!AN52-计算!AO52</f>
        <v>0</v>
      </c>
    </row>
    <row r="11" s="31" customFormat="1" ht="13.85" spans="1:6">
      <c r="A11" s="43" t="s">
        <v>24</v>
      </c>
      <c r="B11" s="40">
        <v>7</v>
      </c>
      <c r="C11" s="44">
        <f>计算!R52-计算!S52</f>
        <v>0</v>
      </c>
      <c r="D11" s="53" t="s">
        <v>333</v>
      </c>
      <c r="E11" s="40">
        <v>27</v>
      </c>
      <c r="F11" s="45"/>
    </row>
    <row r="12" s="31" customFormat="1" ht="14.6" spans="1:6">
      <c r="A12" s="54" t="s">
        <v>334</v>
      </c>
      <c r="B12" s="47">
        <v>8</v>
      </c>
      <c r="C12" s="55">
        <f>SUM(C6:C11)</f>
        <v>0</v>
      </c>
      <c r="D12" s="41" t="s">
        <v>52</v>
      </c>
      <c r="E12" s="40">
        <v>28</v>
      </c>
      <c r="F12" s="45">
        <f>计算!AP52-计算!AQ52</f>
        <v>0</v>
      </c>
    </row>
    <row r="13" s="31" customFormat="1" ht="13.85" spans="1:6">
      <c r="A13" s="43" t="s">
        <v>26</v>
      </c>
      <c r="B13" s="40">
        <v>9</v>
      </c>
      <c r="C13" s="44">
        <f>-(计算!T52-计算!U52)</f>
        <v>0</v>
      </c>
      <c r="D13" s="41" t="s">
        <v>54</v>
      </c>
      <c r="E13" s="40">
        <v>29</v>
      </c>
      <c r="F13" s="45">
        <f>计算!AR52-计算!AS52</f>
        <v>0</v>
      </c>
    </row>
    <row r="14" s="31" customFormat="1" ht="14.6" spans="1:6">
      <c r="A14" s="43" t="s">
        <v>28</v>
      </c>
      <c r="B14" s="40">
        <v>10</v>
      </c>
      <c r="C14" s="44">
        <f>-(计算!V52-计算!W52)</f>
        <v>0</v>
      </c>
      <c r="D14" s="46" t="s">
        <v>335</v>
      </c>
      <c r="E14" s="47">
        <v>30</v>
      </c>
      <c r="F14" s="56">
        <f>F10+F12+F13</f>
        <v>0</v>
      </c>
    </row>
    <row r="15" s="31" customFormat="1" ht="13.85" spans="1:6">
      <c r="A15" s="43" t="s">
        <v>30</v>
      </c>
      <c r="B15" s="40">
        <v>11</v>
      </c>
      <c r="C15" s="44">
        <f>-(计算!X52-计算!Y52)</f>
        <v>0</v>
      </c>
      <c r="D15" s="41" t="s">
        <v>56</v>
      </c>
      <c r="E15" s="40">
        <v>31</v>
      </c>
      <c r="F15" s="57">
        <f>-(计算!AT52-计算!AU52)</f>
        <v>0</v>
      </c>
    </row>
    <row r="16" s="31" customFormat="1" ht="13.85" spans="1:6">
      <c r="A16" s="43" t="s">
        <v>32</v>
      </c>
      <c r="B16" s="40">
        <v>12</v>
      </c>
      <c r="C16" s="44">
        <f>-(计算!Z52-计算!AA52)</f>
        <v>0</v>
      </c>
      <c r="D16" s="41" t="s">
        <v>336</v>
      </c>
      <c r="E16" s="40">
        <v>32</v>
      </c>
      <c r="F16" s="45">
        <f>-(计算!AV52-计算!AW52)</f>
        <v>0</v>
      </c>
    </row>
    <row r="17" s="31" customFormat="1" ht="14.6" spans="1:7">
      <c r="A17" s="54" t="s">
        <v>337</v>
      </c>
      <c r="B17" s="47">
        <v>13</v>
      </c>
      <c r="C17" s="55">
        <f>SUM(C13:C16)</f>
        <v>0</v>
      </c>
      <c r="D17" s="53" t="s">
        <v>338</v>
      </c>
      <c r="E17" s="40">
        <v>33</v>
      </c>
      <c r="F17" s="45"/>
    </row>
    <row r="18" s="31" customFormat="1" ht="14.6" spans="1:7">
      <c r="A18" s="58" t="s">
        <v>339</v>
      </c>
      <c r="B18" s="47">
        <v>14</v>
      </c>
      <c r="C18" s="59">
        <f>C12-C17</f>
        <v>0</v>
      </c>
      <c r="D18" s="41" t="s">
        <v>60</v>
      </c>
      <c r="E18" s="40">
        <v>34</v>
      </c>
      <c r="F18" s="60">
        <f>-(计算!AX52-计算!AY52)</f>
        <v>0</v>
      </c>
    </row>
    <row r="19" s="31" customFormat="1" ht="14.6" spans="1:7">
      <c r="A19" s="39" t="s">
        <v>340</v>
      </c>
      <c r="B19" s="40">
        <v>15</v>
      </c>
      <c r="C19" s="40"/>
      <c r="D19" s="46" t="s">
        <v>341</v>
      </c>
      <c r="E19" s="47">
        <v>35</v>
      </c>
      <c r="F19" s="48">
        <f>F15+F16+F18</f>
        <v>0</v>
      </c>
    </row>
    <row r="20" s="31" customFormat="1" ht="14.6" spans="1:7">
      <c r="A20" s="43" t="s">
        <v>35</v>
      </c>
      <c r="B20" s="40">
        <v>16</v>
      </c>
      <c r="C20" s="44">
        <f>计算!AB52-计算!AC52</f>
        <v>0</v>
      </c>
      <c r="D20" s="49" t="s">
        <v>342</v>
      </c>
      <c r="E20" s="47">
        <v>36</v>
      </c>
      <c r="F20" s="50">
        <f>F14-F19</f>
        <v>0</v>
      </c>
    </row>
    <row r="21" s="31" customFormat="1" ht="14.6" spans="1:7">
      <c r="A21" s="43" t="s">
        <v>37</v>
      </c>
      <c r="B21" s="40">
        <v>17</v>
      </c>
      <c r="C21" s="44">
        <f>计算!AD52-计算!AE52</f>
        <v>0</v>
      </c>
      <c r="D21" s="47" t="s">
        <v>343</v>
      </c>
      <c r="E21" s="40">
        <v>37</v>
      </c>
      <c r="F21" s="52"/>
    </row>
    <row r="22" s="31" customFormat="1" ht="14.6" spans="1:7">
      <c r="A22" s="43" t="s">
        <v>39</v>
      </c>
      <c r="B22" s="40">
        <v>18</v>
      </c>
      <c r="C22" s="44">
        <f>计算!AF52-计算!AG52</f>
        <v>0</v>
      </c>
      <c r="D22" s="47" t="s">
        <v>344</v>
      </c>
      <c r="E22" s="47">
        <v>38</v>
      </c>
      <c r="F22" s="52">
        <f>C18+F20+F8</f>
        <v>0</v>
      </c>
    </row>
    <row r="23" s="31" customFormat="1" ht="13.85" spans="1:7">
      <c r="A23" s="43" t="s">
        <v>41</v>
      </c>
      <c r="B23" s="40">
        <v>19</v>
      </c>
      <c r="C23" s="44">
        <f>计算!AH52-计算!AI52</f>
        <v>0</v>
      </c>
      <c r="D23" s="41" t="s">
        <v>345</v>
      </c>
      <c r="E23" s="40">
        <v>39</v>
      </c>
      <c r="F23" s="57">
        <v>0</v>
      </c>
    </row>
    <row r="24" s="31" customFormat="1" ht="15.35" spans="1:7">
      <c r="A24" s="61" t="s">
        <v>346</v>
      </c>
      <c r="B24" s="62">
        <v>20</v>
      </c>
      <c r="C24" s="63">
        <f>SUM(C20:C23)</f>
        <v>0</v>
      </c>
      <c r="D24" s="62" t="s">
        <v>347</v>
      </c>
      <c r="E24" s="62">
        <v>40</v>
      </c>
      <c r="F24" s="64">
        <f>F22+F23</f>
        <v>0</v>
      </c>
      <c r="G24" s="65"/>
    </row>
    <row r="25" s="31" customFormat="1" ht="13.85" spans="1:7">
      <c r="A25" s="66" t="s">
        <v>348</v>
      </c>
      <c r="B25" s="66" t="s">
        <v>349</v>
      </c>
      <c r="C25" s="66"/>
      <c r="D25" s="67" t="s">
        <v>350</v>
      </c>
      <c r="F25" s="65">
        <f>F24-银行流水账!F159</f>
        <v>0</v>
      </c>
      <c r="G25" s="65"/>
    </row>
    <row r="26" s="31" customFormat="1" ht="13.85"/>
    <row r="27" s="31" customFormat="1" ht="13.85"/>
    <row r="28" s="31" customFormat="1" ht="13.85"/>
    <row r="29" s="31" customFormat="1" ht="13.85"/>
    <row r="30" s="31" customFormat="1" ht="13.85"/>
  </sheetData>
  <mergeCells count="2">
    <mergeCell ref="A1:F1"/>
    <mergeCell ref="A2:F2"/>
  </mergeCells>
  <pageMargins left="0.697916666666667" right="0.697916666666667" top="0.75" bottom="0.75" header="0.3" footer="0.3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zoomScale="115" zoomScaleNormal="115" topLeftCell="A25" workbookViewId="0">
      <selection activeCell="C8" sqref="C8"/>
    </sheetView>
  </sheetViews>
  <sheetFormatPr defaultColWidth="9" defaultRowHeight="12.35" outlineLevelCol="6"/>
  <cols>
    <col min="1" max="1" width="24.1428571428571" style="1" customWidth="1"/>
    <col min="2" max="2" width="69.4285714285714" customWidth="1"/>
    <col min="3" max="3" width="16.8571428571429" customWidth="1"/>
    <col min="4" max="4" width="65.5714285714286" customWidth="1"/>
  </cols>
  <sheetData>
    <row r="1" ht="23.25" customHeight="1" spans="1:7">
      <c r="A1" s="2" t="s">
        <v>351</v>
      </c>
      <c r="B1" s="3"/>
      <c r="C1" s="3"/>
      <c r="D1" s="4"/>
      <c r="E1" s="5"/>
      <c r="F1" s="5"/>
      <c r="G1" s="5"/>
    </row>
    <row r="2" ht="23.25" customHeight="1" spans="1:7">
      <c r="A2" s="6" t="s">
        <v>352</v>
      </c>
      <c r="B2" s="7" t="s">
        <v>353</v>
      </c>
      <c r="C2" s="7" t="s">
        <v>354</v>
      </c>
      <c r="D2" s="8" t="s">
        <v>355</v>
      </c>
      <c r="E2" s="9"/>
      <c r="F2" s="9"/>
      <c r="G2" s="9"/>
    </row>
    <row r="3" ht="15.75" spans="1:7">
      <c r="A3" s="10" t="s">
        <v>356</v>
      </c>
      <c r="B3" s="11" t="s">
        <v>357</v>
      </c>
      <c r="C3" s="12">
        <f>资产负债表!D28-资产负债表!H28</f>
        <v>431.76</v>
      </c>
      <c r="D3" s="13" t="s">
        <v>358</v>
      </c>
    </row>
    <row r="4" ht="15.75" spans="1:7">
      <c r="A4" s="14"/>
      <c r="B4" s="11" t="s">
        <v>359</v>
      </c>
      <c r="C4" s="12" t="e">
        <f>资产负债表!D28/资产负债表!H28</f>
        <v>#DIV/0!</v>
      </c>
      <c r="D4" s="13" t="s">
        <v>360</v>
      </c>
    </row>
    <row r="5" ht="15.75" spans="1:7">
      <c r="A5" s="14"/>
      <c r="B5" s="11" t="s">
        <v>361</v>
      </c>
      <c r="C5" s="12" t="e">
        <f>(资产负债表!D28-资产负债表!D19-资产负债表!D21)/资产负债表!H28</f>
        <v>#DIV/0!</v>
      </c>
      <c r="D5" s="13" t="s">
        <v>362</v>
      </c>
    </row>
    <row r="6" ht="15.75" spans="1:7">
      <c r="A6" s="14"/>
      <c r="B6" s="11" t="s">
        <v>363</v>
      </c>
      <c r="C6" s="12" t="e">
        <f>(资产负债表!D8+资产负债表!D9)/资产负债表!H28</f>
        <v>#DIV/0!</v>
      </c>
      <c r="D6" s="13" t="s">
        <v>364</v>
      </c>
    </row>
    <row r="7" ht="15.75" spans="1:7">
      <c r="A7" s="15"/>
      <c r="B7" s="11" t="s">
        <v>365</v>
      </c>
      <c r="C7" s="12" t="e">
        <f>现金流量表!C18/资产负债表!H28</f>
        <v>#DIV/0!</v>
      </c>
      <c r="D7" s="13"/>
    </row>
    <row r="8" ht="15.75" spans="1:7">
      <c r="A8" s="16" t="s">
        <v>366</v>
      </c>
      <c r="B8" s="11" t="s">
        <v>367</v>
      </c>
      <c r="C8" s="17">
        <f>资产负债表!H56/资产负债表!D79</f>
        <v>0</v>
      </c>
      <c r="D8" s="13" t="s">
        <v>368</v>
      </c>
    </row>
    <row r="9" ht="15.75" spans="1:7">
      <c r="A9" s="16"/>
      <c r="B9" s="11" t="s">
        <v>369</v>
      </c>
      <c r="C9" s="17" t="e">
        <f>资产负债表!H56/资产负债表!H78*100%</f>
        <v>#DIV/0!</v>
      </c>
      <c r="D9" s="13"/>
    </row>
    <row r="10" ht="15.75" spans="1:7">
      <c r="A10" s="16"/>
      <c r="B10" s="11" t="s">
        <v>370</v>
      </c>
      <c r="C10" s="17" t="e">
        <f>资产负债表!D79/资产负债表!H78</f>
        <v>#DIV/0!</v>
      </c>
      <c r="D10" s="13"/>
    </row>
    <row r="11" ht="15.75" spans="1:7">
      <c r="A11" s="16"/>
      <c r="B11" s="11" t="s">
        <v>371</v>
      </c>
      <c r="C11" s="18" t="e">
        <f>(利润表!C35+利润表!C21)/利润表!C21</f>
        <v>#DIV/0!</v>
      </c>
      <c r="D11" s="13" t="s">
        <v>372</v>
      </c>
    </row>
    <row r="12" ht="15.75" spans="1:7">
      <c r="A12" s="10" t="s">
        <v>373</v>
      </c>
      <c r="B12" s="11" t="s">
        <v>374</v>
      </c>
      <c r="C12" s="18" t="e">
        <f>利润表!C7/资产负债表!D14</f>
        <v>#DIV/0!</v>
      </c>
      <c r="D12" s="13" t="s">
        <v>375</v>
      </c>
    </row>
    <row r="13" ht="15.75" spans="1:7">
      <c r="A13" s="14"/>
      <c r="B13" s="11" t="s">
        <v>376</v>
      </c>
      <c r="C13" s="18">
        <f>利润表!C7/资产负债表!D19</f>
        <v>0</v>
      </c>
      <c r="D13" s="13" t="s">
        <v>377</v>
      </c>
    </row>
    <row r="14" ht="15.75" spans="1:7">
      <c r="A14" s="14"/>
      <c r="B14" s="11" t="s">
        <v>378</v>
      </c>
      <c r="C14" s="18">
        <f>利润表!C7/资产负债表!D28</f>
        <v>0</v>
      </c>
      <c r="D14" s="13" t="s">
        <v>379</v>
      </c>
    </row>
    <row r="15" ht="15.75" spans="1:7">
      <c r="A15" s="14"/>
      <c r="B15" s="11" t="s">
        <v>380</v>
      </c>
      <c r="C15" s="18" t="e">
        <f>利润表!C7/(资产负债表!D44+资产负债表!D55+资产负债表!D67+资产负债表!D78)</f>
        <v>#DIV/0!</v>
      </c>
      <c r="D15" s="19"/>
    </row>
    <row r="16" ht="15.75" spans="1:7">
      <c r="A16" s="15"/>
      <c r="B16" s="11" t="s">
        <v>381</v>
      </c>
      <c r="C16" s="18">
        <f>利润表!C7/资产负债表!D79</f>
        <v>0</v>
      </c>
      <c r="D16" s="19"/>
    </row>
    <row r="17" ht="15.75" spans="1:4">
      <c r="A17" s="14" t="s">
        <v>382</v>
      </c>
      <c r="B17" s="11" t="s">
        <v>383</v>
      </c>
      <c r="C17" s="18" t="e">
        <f>利润表!C18/利润表!C7</f>
        <v>#DIV/0!</v>
      </c>
      <c r="D17" s="19"/>
    </row>
    <row r="18" ht="15.75" spans="1:4">
      <c r="A18" s="14"/>
      <c r="B18" s="11" t="s">
        <v>384</v>
      </c>
      <c r="C18" s="20" t="e">
        <f>利润表!C37/利润表!C7</f>
        <v>#DIV/0!</v>
      </c>
      <c r="D18" s="21"/>
    </row>
    <row r="19" ht="15.75" spans="1:4">
      <c r="A19" s="14"/>
      <c r="B19" s="11" t="s">
        <v>385</v>
      </c>
      <c r="C19" s="17">
        <f>利润表!C35/资产负债表!D79</f>
        <v>0</v>
      </c>
      <c r="D19" s="21"/>
    </row>
    <row r="20" ht="15.75" spans="1:4">
      <c r="A20" s="14"/>
      <c r="B20" s="11" t="s">
        <v>386</v>
      </c>
      <c r="C20" s="17" t="e">
        <f>利润表!C37/资产负债表!H78</f>
        <v>#DIV/0!</v>
      </c>
      <c r="D20" s="21"/>
    </row>
    <row r="21" ht="15.75" spans="1:4">
      <c r="A21" s="14"/>
      <c r="B21" s="11" t="s">
        <v>387</v>
      </c>
      <c r="C21" s="17" t="e">
        <f>利润表!C37/资产负债表!H60</f>
        <v>#DIV/0!</v>
      </c>
      <c r="D21" s="21"/>
    </row>
    <row r="22" ht="15.75" spans="1:4">
      <c r="A22" s="14"/>
      <c r="B22" s="11" t="s">
        <v>388</v>
      </c>
      <c r="C22" s="17" t="e">
        <f>(资产负债表!H71-资产负债表!H72)/资产负债表!H60</f>
        <v>#DIV/0!</v>
      </c>
      <c r="D22" s="21"/>
    </row>
    <row r="23" ht="15.75" spans="1:4">
      <c r="A23" s="14"/>
      <c r="B23" s="11" t="s">
        <v>389</v>
      </c>
      <c r="C23" s="17" t="e">
        <f>C22/C21</f>
        <v>#DIV/0!</v>
      </c>
      <c r="D23" s="21"/>
    </row>
    <row r="24" ht="15.75" spans="1:4">
      <c r="A24" s="14"/>
      <c r="B24" s="11" t="s">
        <v>390</v>
      </c>
      <c r="C24" s="17"/>
      <c r="D24" s="21"/>
    </row>
    <row r="25" ht="15.75" spans="1:4">
      <c r="A25" s="15"/>
      <c r="B25" s="11" t="s">
        <v>391</v>
      </c>
      <c r="C25" s="17"/>
      <c r="D25" s="21"/>
    </row>
    <row r="26" ht="15.75" spans="1:4">
      <c r="A26" s="14" t="s">
        <v>392</v>
      </c>
      <c r="B26" s="11" t="s">
        <v>393</v>
      </c>
      <c r="C26" s="17"/>
      <c r="D26" s="21"/>
    </row>
    <row r="27" ht="15.75" spans="1:4">
      <c r="A27" s="14"/>
      <c r="B27" s="11" t="s">
        <v>394</v>
      </c>
      <c r="C27" s="17"/>
      <c r="D27" s="21"/>
    </row>
    <row r="28" ht="15.75" spans="1:4">
      <c r="A28" s="14"/>
      <c r="B28" s="11" t="s">
        <v>395</v>
      </c>
      <c r="C28" s="17"/>
      <c r="D28" s="21"/>
    </row>
    <row r="29" ht="15.75" spans="1:4">
      <c r="A29" s="14"/>
      <c r="B29" s="11" t="s">
        <v>396</v>
      </c>
      <c r="C29" s="17"/>
      <c r="D29" s="21"/>
    </row>
    <row r="30" ht="15.75" spans="1:4">
      <c r="A30" s="15"/>
      <c r="B30" s="11" t="s">
        <v>397</v>
      </c>
      <c r="C30" s="17"/>
      <c r="D30" s="21"/>
    </row>
    <row r="31" ht="15.75" spans="1:4">
      <c r="A31" s="16" t="s">
        <v>398</v>
      </c>
      <c r="B31" s="11" t="s">
        <v>399</v>
      </c>
      <c r="C31" s="22" t="e">
        <f>资产负债表!H78/资产负债表!H60</f>
        <v>#DIV/0!</v>
      </c>
      <c r="D31" s="21"/>
    </row>
    <row r="32" ht="15.75" spans="1:4">
      <c r="A32" s="16"/>
      <c r="B32" s="11" t="s">
        <v>400</v>
      </c>
      <c r="C32" s="17" t="e">
        <f>利润表!C37/资产负债表!H60</f>
        <v>#DIV/0!</v>
      </c>
      <c r="D32" s="21"/>
    </row>
    <row r="33" ht="16.5" spans="1:4">
      <c r="A33" s="23"/>
      <c r="B33" s="24" t="s">
        <v>401</v>
      </c>
      <c r="C33" s="25"/>
      <c r="D33" s="26"/>
    </row>
    <row r="34" ht="15.75" spans="1:4">
      <c r="A34" s="27" t="s">
        <v>402</v>
      </c>
      <c r="B34" s="27" t="s">
        <v>403</v>
      </c>
      <c r="C34" s="28" t="e">
        <f>C18*C16*C10</f>
        <v>#DIV/0!</v>
      </c>
    </row>
    <row r="35" ht="15.35" spans="1:4">
      <c r="C35" s="28"/>
    </row>
    <row r="36" ht="15.75" spans="1:4">
      <c r="A36" s="29"/>
      <c r="B36" s="27"/>
      <c r="C36" s="28"/>
    </row>
    <row r="37" ht="15.75" spans="1:4">
      <c r="A37" s="29"/>
      <c r="B37" s="27"/>
      <c r="C37" s="28"/>
    </row>
    <row r="38" ht="15.75" spans="1:4">
      <c r="A38" s="29"/>
      <c r="B38" s="27"/>
      <c r="C38" s="28"/>
    </row>
    <row r="39" ht="15.75" spans="1:4">
      <c r="A39" s="29"/>
      <c r="B39" s="27"/>
      <c r="C39" s="28"/>
    </row>
    <row r="40" ht="15.75" spans="1:4">
      <c r="A40" s="29"/>
      <c r="B40" s="27"/>
      <c r="C40" s="28"/>
    </row>
    <row r="41" ht="15.75" spans="1:4">
      <c r="A41" s="29"/>
      <c r="B41" s="27"/>
      <c r="C41" s="28"/>
    </row>
  </sheetData>
  <mergeCells count="7">
    <mergeCell ref="A1:D1"/>
    <mergeCell ref="A3:A7"/>
    <mergeCell ref="A8:A11"/>
    <mergeCell ref="A12:A16"/>
    <mergeCell ref="A17:A25"/>
    <mergeCell ref="A26:A30"/>
    <mergeCell ref="A31:A33"/>
  </mergeCells>
  <pageMargins left="0.75" right="0.75" top="1" bottom="1" header="0.5" footer="0.5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银行流水账</vt:lpstr>
      <vt:lpstr>原材料(加工用)</vt:lpstr>
      <vt:lpstr>零件（加工用）</vt:lpstr>
      <vt:lpstr>商品（各实体用）</vt:lpstr>
      <vt:lpstr>明细账汇总-资产类科目</vt:lpstr>
      <vt:lpstr>明细账汇总-负债类科目</vt:lpstr>
      <vt:lpstr>明细账汇总-损益类科目</vt:lpstr>
      <vt:lpstr>资产负债表</vt:lpstr>
      <vt:lpstr>利润表</vt:lpstr>
      <vt:lpstr>计算</vt:lpstr>
      <vt:lpstr>现金流量表</vt:lpstr>
      <vt:lpstr>常用财务分析表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wuhao</cp:lastModifiedBy>
  <dcterms:created xsi:type="dcterms:W3CDTF">2000-12-05T03:06:00Z</dcterms:created>
  <cp:lastPrinted>2007-01-09T03:23:00Z</cp:lastPrinted>
  <dcterms:modified xsi:type="dcterms:W3CDTF">2026-09-10T13:57:57Z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13857C818C3441F68B6364AECF855577_13</vt:lpwstr>
  </property>
  <property fmtid="{D5CDD505-2E9C-101B-9397-08002B2CF9AE}" pid="4" name="CalculationRule">
    <vt:i4>0</vt:i4>
  </property>
</Properties>
</file>